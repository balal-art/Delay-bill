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rhparsi\Desktop\"/>
    </mc:Choice>
  </mc:AlternateContent>
  <bookViews>
    <workbookView xWindow="0" yWindow="0" windowWidth="15360" windowHeight="7800" tabRatio="732"/>
  </bookViews>
  <sheets>
    <sheet name="شناسنامه" sheetId="10" r:id="rId1"/>
    <sheet name="قسط اول پیش پرداخت " sheetId="6" r:id="rId2"/>
    <sheet name="باقی پیش پرداخت ها " sheetId="7" r:id="rId3"/>
    <sheet name="صورت وضعیت " sheetId="1" r:id="rId4"/>
    <sheet name="تعدیل" sheetId="8" r:id="rId5"/>
    <sheet name="تبصره 3" sheetId="13" r:id="rId6"/>
    <sheet name="همپوشاني تبصره 3" sheetId="14" r:id="rId7"/>
  </sheets>
  <functionGroups builtInGroupCount="18"/>
  <definedNames>
    <definedName name="_xlnm._FilterDatabase" localSheetId="5" hidden="1">'تبصره 3'!$A$1:$F$59</definedName>
    <definedName name="_xlnm._FilterDatabase" localSheetId="6" hidden="1">'همپوشاني تبصره 3'!$A$1:$H$10</definedName>
    <definedName name="end" localSheetId="5">#REF!</definedName>
    <definedName name="end" localSheetId="6">#REF!</definedName>
    <definedName name="end">#REF!</definedName>
    <definedName name="_xlnm.Print_Titles" localSheetId="4">تعدیل!$2:$11</definedName>
    <definedName name="_xlnm.Print_Titles" localSheetId="3">'صورت وضعیت '!$1:$10</definedName>
    <definedName name="start" localSheetId="5">#REF!</definedName>
    <definedName name="start" localSheetId="6">#REF!</definedName>
    <definedName name="start">#REF!</definedName>
    <definedName name="ابتدای_تاخیر" localSheetId="5">'تبصره 3'!#REF!</definedName>
    <definedName name="ابتدای_تاخیر" localSheetId="6">'همپوشاني تبصره 3'!$H$4:$H$10</definedName>
    <definedName name="ابتدای_تاخیر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0" l="1"/>
  <c r="H15" i="14"/>
  <c r="B53" i="13" l="1"/>
  <c r="C53" i="13"/>
  <c r="D53" i="13"/>
  <c r="E53" i="13"/>
  <c r="F53" i="13"/>
  <c r="B54" i="13"/>
  <c r="C54" i="13"/>
  <c r="D54" i="13"/>
  <c r="E54" i="13"/>
  <c r="F54" i="13"/>
  <c r="B57" i="13"/>
  <c r="C57" i="13"/>
  <c r="D57" i="13"/>
  <c r="E57" i="13"/>
  <c r="F57" i="13"/>
  <c r="B58" i="13"/>
  <c r="C58" i="13"/>
  <c r="D58" i="13"/>
  <c r="E58" i="13"/>
  <c r="F58" i="13"/>
  <c r="B64" i="13"/>
  <c r="C64" i="13"/>
  <c r="D64" i="13"/>
  <c r="E64" i="13"/>
  <c r="F64" i="13"/>
  <c r="B63" i="13"/>
  <c r="C63" i="13"/>
  <c r="D63" i="13"/>
  <c r="E63" i="13"/>
  <c r="F63" i="13"/>
  <c r="B66" i="13"/>
  <c r="C66" i="13"/>
  <c r="D66" i="13"/>
  <c r="E66" i="13"/>
  <c r="F66" i="13"/>
  <c r="B55" i="13"/>
  <c r="C55" i="13"/>
  <c r="D55" i="13"/>
  <c r="E55" i="13"/>
  <c r="F55" i="13"/>
  <c r="B56" i="13"/>
  <c r="C56" i="13"/>
  <c r="D56" i="13"/>
  <c r="E56" i="13"/>
  <c r="F56" i="13"/>
  <c r="B59" i="13"/>
  <c r="C59" i="13"/>
  <c r="D59" i="13"/>
  <c r="E59" i="13"/>
  <c r="F59" i="13"/>
  <c r="B60" i="13"/>
  <c r="C60" i="13"/>
  <c r="D60" i="13"/>
  <c r="E60" i="13"/>
  <c r="F60" i="13"/>
  <c r="B61" i="13"/>
  <c r="C61" i="13"/>
  <c r="D61" i="13"/>
  <c r="E61" i="13"/>
  <c r="F61" i="13"/>
  <c r="B62" i="13"/>
  <c r="C62" i="13"/>
  <c r="D62" i="13"/>
  <c r="E62" i="13"/>
  <c r="F62" i="13"/>
  <c r="B65" i="13"/>
  <c r="C65" i="13"/>
  <c r="D65" i="13"/>
  <c r="E65" i="13"/>
  <c r="F65" i="13"/>
  <c r="I35" i="8"/>
  <c r="C37" i="8"/>
  <c r="C36" i="8"/>
  <c r="E35" i="8"/>
  <c r="G35" i="8" s="1"/>
  <c r="J35" i="8" s="1"/>
  <c r="I34" i="8"/>
  <c r="E34" i="8" s="1"/>
  <c r="G34" i="8" s="1"/>
  <c r="J34" i="8" s="1"/>
  <c r="I36" i="8"/>
  <c r="E36" i="8" s="1"/>
  <c r="G36" i="8" s="1"/>
  <c r="J36" i="8" s="1"/>
  <c r="I37" i="8"/>
  <c r="E37" i="8" s="1"/>
  <c r="G37" i="8" s="1"/>
  <c r="J37" i="8" s="1"/>
  <c r="C38" i="8"/>
  <c r="I38" i="8"/>
  <c r="E38" i="8" s="1"/>
  <c r="G38" i="8" s="1"/>
  <c r="J38" i="8" s="1"/>
  <c r="C39" i="8"/>
  <c r="I39" i="8"/>
  <c r="E39" i="8" s="1"/>
  <c r="G39" i="8" s="1"/>
  <c r="J39" i="8" s="1"/>
  <c r="C40" i="8"/>
  <c r="I40" i="8"/>
  <c r="E40" i="8" s="1"/>
  <c r="G40" i="8" s="1"/>
  <c r="J40" i="8" s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I37" i="1"/>
  <c r="E37" i="1" s="1"/>
  <c r="G37" i="1" s="1"/>
  <c r="J37" i="1" s="1"/>
  <c r="I38" i="1"/>
  <c r="E38" i="1" s="1"/>
  <c r="G38" i="1" s="1"/>
  <c r="J38" i="1" s="1"/>
  <c r="I39" i="1"/>
  <c r="E39" i="1" s="1"/>
  <c r="G39" i="1" s="1"/>
  <c r="J39" i="1" s="1"/>
  <c r="I40" i="1"/>
  <c r="E40" i="1" s="1"/>
  <c r="G40" i="1" s="1"/>
  <c r="J40" i="1" s="1"/>
  <c r="I41" i="1"/>
  <c r="E41" i="1" s="1"/>
  <c r="G41" i="1" s="1"/>
  <c r="J41" i="1" s="1"/>
  <c r="I42" i="1"/>
  <c r="E42" i="1" s="1"/>
  <c r="G42" i="1" s="1"/>
  <c r="J42" i="1" s="1"/>
  <c r="I43" i="1"/>
  <c r="E43" i="1" s="1"/>
  <c r="G43" i="1" s="1"/>
  <c r="J43" i="1" s="1"/>
  <c r="K35" i="8" l="1"/>
  <c r="C14" i="10"/>
  <c r="C13" i="10"/>
  <c r="F2" i="13" l="1"/>
  <c r="D52" i="13" l="1"/>
  <c r="B52" i="13"/>
  <c r="D51" i="13"/>
  <c r="B51" i="13"/>
  <c r="D50" i="13"/>
  <c r="B50" i="13"/>
  <c r="D49" i="13"/>
  <c r="B49" i="13"/>
  <c r="D48" i="13"/>
  <c r="B48" i="13"/>
  <c r="D47" i="13"/>
  <c r="B47" i="13"/>
  <c r="D46" i="13"/>
  <c r="B46" i="13"/>
  <c r="D45" i="13"/>
  <c r="B45" i="13"/>
  <c r="D44" i="13"/>
  <c r="B44" i="13"/>
  <c r="D43" i="13"/>
  <c r="B43" i="13"/>
  <c r="D42" i="13"/>
  <c r="B42" i="13"/>
  <c r="D41" i="13"/>
  <c r="B41" i="13"/>
  <c r="D40" i="13"/>
  <c r="B40" i="13"/>
  <c r="D39" i="13"/>
  <c r="B39" i="13"/>
  <c r="D38" i="13"/>
  <c r="B38" i="13"/>
  <c r="D37" i="13"/>
  <c r="B37" i="13"/>
  <c r="D36" i="13"/>
  <c r="B36" i="13"/>
  <c r="D35" i="13"/>
  <c r="B35" i="13"/>
  <c r="D34" i="13"/>
  <c r="B34" i="13"/>
  <c r="D33" i="13"/>
  <c r="B33" i="13"/>
  <c r="D32" i="13"/>
  <c r="B32" i="13"/>
  <c r="F31" i="13"/>
  <c r="E31" i="13"/>
  <c r="D31" i="13"/>
  <c r="C31" i="13"/>
  <c r="B31" i="13"/>
  <c r="D30" i="13"/>
  <c r="B30" i="13"/>
  <c r="D29" i="13"/>
  <c r="B29" i="13"/>
  <c r="D28" i="13"/>
  <c r="B28" i="13"/>
  <c r="D27" i="13"/>
  <c r="B27" i="13"/>
  <c r="D26" i="13"/>
  <c r="B26" i="13"/>
  <c r="D25" i="13"/>
  <c r="B25" i="13"/>
  <c r="D24" i="13"/>
  <c r="B24" i="13"/>
  <c r="D23" i="13"/>
  <c r="B23" i="13"/>
  <c r="D22" i="13"/>
  <c r="B22" i="13"/>
  <c r="D21" i="13"/>
  <c r="B21" i="13"/>
  <c r="D20" i="13"/>
  <c r="B20" i="13"/>
  <c r="D19" i="13"/>
  <c r="B19" i="13"/>
  <c r="D18" i="13"/>
  <c r="B18" i="13"/>
  <c r="D17" i="13"/>
  <c r="B17" i="13"/>
  <c r="D16" i="13"/>
  <c r="B16" i="13"/>
  <c r="D15" i="13"/>
  <c r="B15" i="13"/>
  <c r="D14" i="13"/>
  <c r="B14" i="13"/>
  <c r="D13" i="13"/>
  <c r="B13" i="13"/>
  <c r="D12" i="13"/>
  <c r="B12" i="13"/>
  <c r="D11" i="13"/>
  <c r="B11" i="13"/>
  <c r="D10" i="13"/>
  <c r="B10" i="13"/>
  <c r="D9" i="13"/>
  <c r="B9" i="13"/>
  <c r="D8" i="13"/>
  <c r="B8" i="13"/>
  <c r="E7" i="13"/>
  <c r="D7" i="13"/>
  <c r="C7" i="13"/>
  <c r="B7" i="13"/>
  <c r="D6" i="13"/>
  <c r="B6" i="13"/>
  <c r="D5" i="13"/>
  <c r="B5" i="13"/>
  <c r="D4" i="13"/>
  <c r="B4" i="13"/>
  <c r="F3" i="13"/>
  <c r="E3" i="13"/>
  <c r="D3" i="13"/>
  <c r="C3" i="13"/>
  <c r="B3" i="13"/>
  <c r="E2" i="13"/>
  <c r="D2" i="13"/>
  <c r="C2" i="13"/>
  <c r="B2" i="13"/>
  <c r="I13" i="1" l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E26" i="1" s="1"/>
  <c r="G26" i="1" s="1"/>
  <c r="I27" i="1"/>
  <c r="E27" i="1" s="1"/>
  <c r="G27" i="1" s="1"/>
  <c r="I28" i="1"/>
  <c r="E28" i="1" s="1"/>
  <c r="G28" i="1" s="1"/>
  <c r="I29" i="1"/>
  <c r="I30" i="1"/>
  <c r="E30" i="1" s="1"/>
  <c r="G30" i="1" s="1"/>
  <c r="I31" i="1"/>
  <c r="E31" i="1" s="1"/>
  <c r="G31" i="1" s="1"/>
  <c r="I32" i="1"/>
  <c r="E32" i="1" s="1"/>
  <c r="G32" i="1" s="1"/>
  <c r="I33" i="1"/>
  <c r="I34" i="1"/>
  <c r="E34" i="1" s="1"/>
  <c r="G34" i="1" s="1"/>
  <c r="I35" i="1"/>
  <c r="E35" i="1" s="1"/>
  <c r="G35" i="1" s="1"/>
  <c r="I36" i="1"/>
  <c r="E36" i="1" s="1"/>
  <c r="G36" i="1" s="1"/>
  <c r="E17" i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13" i="8"/>
  <c r="I14" i="8"/>
  <c r="E14" i="8" s="1"/>
  <c r="G14" i="8" s="1"/>
  <c r="I15" i="8"/>
  <c r="E15" i="8" s="1"/>
  <c r="G15" i="8" s="1"/>
  <c r="I16" i="8"/>
  <c r="E16" i="8" s="1"/>
  <c r="G16" i="8" s="1"/>
  <c r="I17" i="8"/>
  <c r="E17" i="8" s="1"/>
  <c r="G17" i="8" s="1"/>
  <c r="I18" i="8"/>
  <c r="E18" i="8" s="1"/>
  <c r="G18" i="8" s="1"/>
  <c r="I19" i="8"/>
  <c r="E19" i="8" s="1"/>
  <c r="G19" i="8" s="1"/>
  <c r="I20" i="8"/>
  <c r="E20" i="8" s="1"/>
  <c r="G20" i="8" s="1"/>
  <c r="E21" i="8"/>
  <c r="G21" i="8" s="1"/>
  <c r="I21" i="8"/>
  <c r="I22" i="8"/>
  <c r="E22" i="8" s="1"/>
  <c r="G22" i="8" s="1"/>
  <c r="I23" i="8"/>
  <c r="E23" i="8" s="1"/>
  <c r="G23" i="8" s="1"/>
  <c r="I24" i="8"/>
  <c r="E24" i="8" s="1"/>
  <c r="G24" i="8" s="1"/>
  <c r="I25" i="8"/>
  <c r="E25" i="8" s="1"/>
  <c r="G25" i="8" s="1"/>
  <c r="C34" i="13" s="1"/>
  <c r="I26" i="8"/>
  <c r="E26" i="8" s="1"/>
  <c r="G26" i="8" s="1"/>
  <c r="I27" i="8"/>
  <c r="E27" i="8" s="1"/>
  <c r="G27" i="8" s="1"/>
  <c r="E28" i="8"/>
  <c r="G28" i="8" s="1"/>
  <c r="I28" i="8"/>
  <c r="I29" i="8"/>
  <c r="E29" i="8" s="1"/>
  <c r="G29" i="8" s="1"/>
  <c r="I30" i="8"/>
  <c r="E30" i="8" s="1"/>
  <c r="G30" i="8" s="1"/>
  <c r="I31" i="8"/>
  <c r="E31" i="8" s="1"/>
  <c r="G31" i="8" s="1"/>
  <c r="I32" i="8"/>
  <c r="E32" i="8" s="1"/>
  <c r="G32" i="8" s="1"/>
  <c r="I33" i="8"/>
  <c r="E33" i="8" s="1"/>
  <c r="G33" i="8" s="1"/>
  <c r="E29" i="1"/>
  <c r="G29" i="1" s="1"/>
  <c r="E33" i="1"/>
  <c r="G33" i="1" s="1"/>
  <c r="J32" i="8" l="1"/>
  <c r="C50" i="13"/>
  <c r="J16" i="8"/>
  <c r="C16" i="13"/>
  <c r="J33" i="8"/>
  <c r="C51" i="13"/>
  <c r="J31" i="8"/>
  <c r="E47" i="13" s="1"/>
  <c r="C47" i="13"/>
  <c r="J28" i="8"/>
  <c r="C41" i="13"/>
  <c r="J24" i="8"/>
  <c r="C35" i="13"/>
  <c r="J21" i="8"/>
  <c r="C25" i="13"/>
  <c r="J17" i="8"/>
  <c r="C17" i="13"/>
  <c r="J15" i="8"/>
  <c r="E12" i="13" s="1"/>
  <c r="C12" i="13"/>
  <c r="J30" i="8"/>
  <c r="E44" i="13" s="1"/>
  <c r="C44" i="13"/>
  <c r="J27" i="8"/>
  <c r="E38" i="13" s="1"/>
  <c r="C38" i="13"/>
  <c r="J23" i="8"/>
  <c r="E30" i="13" s="1"/>
  <c r="C30" i="13"/>
  <c r="J20" i="8"/>
  <c r="C23" i="13"/>
  <c r="J14" i="8"/>
  <c r="E8" i="13" s="1"/>
  <c r="C8" i="13"/>
  <c r="J29" i="8"/>
  <c r="E42" i="13" s="1"/>
  <c r="C42" i="13"/>
  <c r="J26" i="8"/>
  <c r="E36" i="13" s="1"/>
  <c r="C36" i="13"/>
  <c r="J22" i="8"/>
  <c r="E28" i="13" s="1"/>
  <c r="C28" i="13"/>
  <c r="J19" i="8"/>
  <c r="E21" i="13" s="1"/>
  <c r="C21" i="13"/>
  <c r="J18" i="8"/>
  <c r="E20" i="13" s="1"/>
  <c r="C20" i="13"/>
  <c r="J32" i="1"/>
  <c r="E45" i="13" s="1"/>
  <c r="C45" i="13"/>
  <c r="J35" i="1"/>
  <c r="E49" i="13" s="1"/>
  <c r="C49" i="13"/>
  <c r="J34" i="1"/>
  <c r="E48" i="13" s="1"/>
  <c r="C48" i="13"/>
  <c r="J30" i="1"/>
  <c r="E40" i="13" s="1"/>
  <c r="C40" i="13"/>
  <c r="J28" i="1"/>
  <c r="E37" i="13" s="1"/>
  <c r="C37" i="13"/>
  <c r="J31" i="1"/>
  <c r="E43" i="13" s="1"/>
  <c r="C43" i="13"/>
  <c r="J27" i="1"/>
  <c r="E33" i="13" s="1"/>
  <c r="C33" i="13"/>
  <c r="J26" i="1"/>
  <c r="E32" i="13" s="1"/>
  <c r="C32" i="13"/>
  <c r="J33" i="1"/>
  <c r="E46" i="13" s="1"/>
  <c r="C46" i="13"/>
  <c r="J29" i="1"/>
  <c r="E39" i="13" s="1"/>
  <c r="C39" i="13"/>
  <c r="J36" i="1"/>
  <c r="E52" i="13" s="1"/>
  <c r="C52" i="13"/>
  <c r="J25" i="8"/>
  <c r="E34" i="13" s="1"/>
  <c r="E17" i="13" l="1"/>
  <c r="E35" i="13"/>
  <c r="E16" i="13"/>
  <c r="E23" i="13"/>
  <c r="E25" i="13"/>
  <c r="E41" i="13"/>
  <c r="E51" i="13"/>
  <c r="E50" i="13"/>
  <c r="K12" i="6"/>
  <c r="E21" i="1"/>
  <c r="G21" i="1" s="1"/>
  <c r="C22" i="13" s="1"/>
  <c r="E22" i="1"/>
  <c r="G22" i="1" s="1"/>
  <c r="C24" i="13" s="1"/>
  <c r="E23" i="1"/>
  <c r="G23" i="1" s="1"/>
  <c r="C26" i="13" s="1"/>
  <c r="E24" i="1"/>
  <c r="G24" i="1" s="1"/>
  <c r="C27" i="13" s="1"/>
  <c r="E25" i="1"/>
  <c r="G25" i="1" s="1"/>
  <c r="C29" i="13" s="1"/>
  <c r="H14" i="7"/>
  <c r="J21" i="1" l="1"/>
  <c r="E22" i="13" s="1"/>
  <c r="J24" i="1"/>
  <c r="E27" i="13" s="1"/>
  <c r="J23" i="1"/>
  <c r="E26" i="13" s="1"/>
  <c r="J22" i="1"/>
  <c r="E24" i="13" s="1"/>
  <c r="J25" i="1"/>
  <c r="E29" i="13" s="1"/>
  <c r="L14" i="7"/>
  <c r="E16" i="1"/>
  <c r="G16" i="1" s="1"/>
  <c r="C13" i="13" s="1"/>
  <c r="J16" i="1" l="1"/>
  <c r="E13" i="13" s="1"/>
  <c r="E18" i="1"/>
  <c r="E15" i="1"/>
  <c r="G15" i="1" s="1"/>
  <c r="C10" i="13" s="1"/>
  <c r="E19" i="1"/>
  <c r="G19" i="1" s="1"/>
  <c r="C18" i="13" s="1"/>
  <c r="E20" i="1"/>
  <c r="G20" i="1" s="1"/>
  <c r="C19" i="13" s="1"/>
  <c r="J20" i="1" l="1"/>
  <c r="E19" i="13" s="1"/>
  <c r="J15" i="1"/>
  <c r="E10" i="13" s="1"/>
  <c r="J19" i="1"/>
  <c r="E18" i="13" s="1"/>
  <c r="C5" i="6" l="1"/>
  <c r="J6" i="8" l="1"/>
  <c r="J5" i="8"/>
  <c r="J4" i="1"/>
  <c r="J5" i="1"/>
  <c r="I13" i="8"/>
  <c r="E13" i="8" s="1"/>
  <c r="H13" i="7"/>
  <c r="J13" i="7"/>
  <c r="K40" i="8" l="1"/>
  <c r="K37" i="8"/>
  <c r="K36" i="8"/>
  <c r="K34" i="8"/>
  <c r="K38" i="8"/>
  <c r="K39" i="8"/>
  <c r="K23" i="8"/>
  <c r="F30" i="13" s="1"/>
  <c r="K26" i="8"/>
  <c r="F36" i="13" s="1"/>
  <c r="K29" i="8"/>
  <c r="F42" i="13" s="1"/>
  <c r="K19" i="8"/>
  <c r="F21" i="13" s="1"/>
  <c r="K22" i="8"/>
  <c r="F28" i="13" s="1"/>
  <c r="K31" i="8"/>
  <c r="F47" i="13" s="1"/>
  <c r="K15" i="8"/>
  <c r="F12" i="13" s="1"/>
  <c r="K18" i="8"/>
  <c r="F20" i="13" s="1"/>
  <c r="K27" i="8"/>
  <c r="F38" i="13" s="1"/>
  <c r="K30" i="8"/>
  <c r="F44" i="13" s="1"/>
  <c r="K14" i="8"/>
  <c r="F8" i="13" s="1"/>
  <c r="K17" i="8"/>
  <c r="F17" i="13" s="1"/>
  <c r="K16" i="8"/>
  <c r="F16" i="13" s="1"/>
  <c r="K21" i="8"/>
  <c r="F25" i="13" s="1"/>
  <c r="K33" i="8"/>
  <c r="F51" i="13" s="1"/>
  <c r="K25" i="8"/>
  <c r="F34" i="13" s="1"/>
  <c r="K24" i="8"/>
  <c r="F35" i="13" s="1"/>
  <c r="K20" i="8"/>
  <c r="F23" i="13" s="1"/>
  <c r="K28" i="8"/>
  <c r="F41" i="13" s="1"/>
  <c r="K32" i="8"/>
  <c r="F50" i="13" s="1"/>
  <c r="K43" i="1"/>
  <c r="K38" i="1"/>
  <c r="K39" i="1"/>
  <c r="K41" i="1"/>
  <c r="K40" i="1"/>
  <c r="K42" i="1"/>
  <c r="K37" i="1"/>
  <c r="L13" i="7"/>
  <c r="K28" i="1"/>
  <c r="F37" i="13" s="1"/>
  <c r="K31" i="1"/>
  <c r="F43" i="13" s="1"/>
  <c r="K26" i="1"/>
  <c r="F32" i="13" s="1"/>
  <c r="K36" i="1"/>
  <c r="F52" i="13" s="1"/>
  <c r="K27" i="1"/>
  <c r="F33" i="13" s="1"/>
  <c r="K33" i="1"/>
  <c r="F46" i="13" s="1"/>
  <c r="K29" i="1"/>
  <c r="F39" i="13" s="1"/>
  <c r="K34" i="1"/>
  <c r="F48" i="13" s="1"/>
  <c r="K32" i="1"/>
  <c r="F45" i="13" s="1"/>
  <c r="K35" i="1"/>
  <c r="F49" i="13" s="1"/>
  <c r="K30" i="1"/>
  <c r="F40" i="13" s="1"/>
  <c r="K21" i="1"/>
  <c r="F22" i="13" s="1"/>
  <c r="K25" i="1"/>
  <c r="F29" i="13" s="1"/>
  <c r="K22" i="1"/>
  <c r="F24" i="13" s="1"/>
  <c r="K24" i="1"/>
  <c r="F27" i="13" s="1"/>
  <c r="K23" i="1"/>
  <c r="F26" i="13" s="1"/>
  <c r="K16" i="1"/>
  <c r="F13" i="13" s="1"/>
  <c r="K15" i="1"/>
  <c r="F10" i="13" s="1"/>
  <c r="K20" i="1"/>
  <c r="F19" i="13" s="1"/>
  <c r="K19" i="1"/>
  <c r="F18" i="13" s="1"/>
  <c r="M21" i="1"/>
  <c r="M23" i="1"/>
  <c r="M22" i="1"/>
  <c r="M25" i="1"/>
  <c r="M24" i="1"/>
  <c r="M20" i="1"/>
  <c r="M19" i="1"/>
  <c r="M16" i="1"/>
  <c r="M15" i="1"/>
  <c r="J14" i="7"/>
  <c r="K7" i="7"/>
  <c r="K6" i="7"/>
  <c r="C9" i="7"/>
  <c r="C8" i="7"/>
  <c r="C7" i="7"/>
  <c r="C6" i="7"/>
  <c r="C5" i="7"/>
  <c r="B8" i="8"/>
  <c r="I12" i="8" s="1"/>
  <c r="E12" i="8" s="1"/>
  <c r="B7" i="8"/>
  <c r="B6" i="8"/>
  <c r="B5" i="8"/>
  <c r="B4" i="8"/>
  <c r="B7" i="1"/>
  <c r="I11" i="1" s="1"/>
  <c r="E11" i="1" s="1"/>
  <c r="B6" i="1"/>
  <c r="B5" i="1"/>
  <c r="B4" i="1"/>
  <c r="B3" i="1"/>
  <c r="I6" i="6"/>
  <c r="I5" i="6"/>
  <c r="C8" i="6"/>
  <c r="C7" i="6"/>
  <c r="C6" i="6"/>
  <c r="C4" i="6"/>
  <c r="G12" i="8" l="1"/>
  <c r="C11" i="13" s="1"/>
  <c r="M13" i="7"/>
  <c r="C12" i="8"/>
  <c r="E14" i="1"/>
  <c r="M14" i="7" l="1"/>
  <c r="J12" i="8"/>
  <c r="E11" i="13" s="1"/>
  <c r="G17" i="1"/>
  <c r="C14" i="13" s="1"/>
  <c r="G13" i="8"/>
  <c r="G18" i="1"/>
  <c r="C15" i="13" s="1"/>
  <c r="G14" i="1"/>
  <c r="C9" i="13" s="1"/>
  <c r="J14" i="1" l="1"/>
  <c r="J13" i="8"/>
  <c r="K13" i="8" s="1"/>
  <c r="F7" i="13" s="1"/>
  <c r="J18" i="1"/>
  <c r="E15" i="13" s="1"/>
  <c r="J17" i="1"/>
  <c r="E14" i="13" s="1"/>
  <c r="K12" i="8"/>
  <c r="F11" i="13" s="1"/>
  <c r="F12" i="6"/>
  <c r="E13" i="1"/>
  <c r="C11" i="1"/>
  <c r="C12" i="1"/>
  <c r="E9" i="13" l="1"/>
  <c r="M14" i="1"/>
  <c r="K14" i="1"/>
  <c r="F9" i="13" s="1"/>
  <c r="K18" i="1"/>
  <c r="F15" i="13" s="1"/>
  <c r="K17" i="1"/>
  <c r="F14" i="13" s="1"/>
  <c r="M18" i="1"/>
  <c r="G13" i="1"/>
  <c r="C6" i="13" s="1"/>
  <c r="H12" i="6"/>
  <c r="I12" i="1"/>
  <c r="E12" i="1" s="1"/>
  <c r="J13" i="1" l="1"/>
  <c r="E6" i="13" s="1"/>
  <c r="K13" i="1" l="1"/>
  <c r="F6" i="13" s="1"/>
  <c r="G12" i="1"/>
  <c r="C4" i="13" s="1"/>
  <c r="G11" i="1"/>
  <c r="C5" i="13" s="1"/>
  <c r="J11" i="1" l="1"/>
  <c r="E5" i="13" s="1"/>
  <c r="J12" i="1"/>
  <c r="E4" i="13" s="1"/>
  <c r="K12" i="1" l="1"/>
  <c r="F4" i="13" s="1"/>
  <c r="K11" i="1"/>
  <c r="F5" i="13" s="1"/>
</calcChain>
</file>

<file path=xl/sharedStrings.xml><?xml version="1.0" encoding="utf-8"?>
<sst xmlns="http://schemas.openxmlformats.org/spreadsheetml/2006/main" count="265" uniqueCount="143">
  <si>
    <t>شماره صورت وضعیت</t>
  </si>
  <si>
    <t>مبلغ کارکرد</t>
  </si>
  <si>
    <t>تاریخ پرداخت طبق پیمان</t>
  </si>
  <si>
    <t>تاریخ واقعی پرداخت</t>
  </si>
  <si>
    <t>ملاحظات</t>
  </si>
  <si>
    <t>تأخیر در پرداخت (روز)</t>
  </si>
  <si>
    <t>مدت تمدید پیمان(روز)</t>
  </si>
  <si>
    <t>کارکرد1</t>
  </si>
  <si>
    <t>کارکرد2</t>
  </si>
  <si>
    <t>کارکرد3</t>
  </si>
  <si>
    <t>مبلغ تجمعی کارکرد</t>
  </si>
  <si>
    <t>مدت زمان مجاز برای تاریخ پرداخت</t>
  </si>
  <si>
    <t>دوره صورت وضعیت (روز)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</si>
  <si>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</si>
  <si>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</si>
  <si>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</si>
  <si>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</si>
  <si>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</si>
  <si>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</si>
  <si>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</si>
  <si>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</si>
  <si>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</si>
  <si>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</si>
  <si>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تاریخ تنظیم صورت وضعیت </t>
  </si>
  <si>
    <t>C+D</t>
  </si>
  <si>
    <t>فاصله زمانی دو کارکرد</t>
  </si>
  <si>
    <t>F-E</t>
  </si>
  <si>
    <t>T</t>
  </si>
  <si>
    <t>k</t>
  </si>
  <si>
    <t>توسط کارفرما</t>
  </si>
  <si>
    <t>A(n+1)-A(n)</t>
  </si>
  <si>
    <t>Hx20/30</t>
  </si>
  <si>
    <t>صفحه 1</t>
  </si>
  <si>
    <t xml:space="preserve">کارفرما : </t>
  </si>
  <si>
    <t xml:space="preserve">مشاور : </t>
  </si>
  <si>
    <t xml:space="preserve">پیمانکار: </t>
  </si>
  <si>
    <t xml:space="preserve">پروژه : </t>
  </si>
  <si>
    <t>تاریخ تحویل زمین :</t>
  </si>
  <si>
    <t xml:space="preserve">مدت اولیه پیمان : </t>
  </si>
  <si>
    <t xml:space="preserve">مبلغ اولیه پیمان : </t>
  </si>
  <si>
    <t>P</t>
  </si>
  <si>
    <t>روز</t>
  </si>
  <si>
    <t>ریال</t>
  </si>
  <si>
    <t xml:space="preserve">جدول محاسبه تمدید پیمان ناشی از تأخیر در پرداخت  قسط اول پیش پرداخت </t>
  </si>
  <si>
    <t xml:space="preserve">فسط اول پیش پرداخت </t>
  </si>
  <si>
    <t xml:space="preserve">مبلغ قسط اول پیش پرداخت </t>
  </si>
  <si>
    <t>تاریخ تسلیم ضمانتنامه</t>
  </si>
  <si>
    <t xml:space="preserve">تاریخ درخواست پیش پرداخت </t>
  </si>
  <si>
    <t>max ( B+20 , C+10)</t>
  </si>
  <si>
    <t>E-D</t>
  </si>
  <si>
    <t xml:space="preserve">شماره قسط </t>
  </si>
  <si>
    <t>مبلغ کارکرد قبل از تسلیم ضمانتنامه</t>
  </si>
  <si>
    <t xml:space="preserve">تاریخ آخرین صورت وضعیت </t>
  </si>
  <si>
    <t xml:space="preserve">تاریخ دریافت اولین پیش پرداخت </t>
  </si>
  <si>
    <t xml:space="preserve">تفاضل تاریخ آخرین صورت وضعیت تا دریافت اولین پیش پرداخت </t>
  </si>
  <si>
    <t>تاریخ درخواست پیش پرداخت</t>
  </si>
  <si>
    <t>مدت تاخیر</t>
  </si>
  <si>
    <t>max ( A+20 , B+10)</t>
  </si>
  <si>
    <t>K</t>
  </si>
  <si>
    <t>D-E</t>
  </si>
  <si>
    <t>جدول محاسبه تمدید پیمان ناشی از تأخیر دراقساط پیش پرداخت</t>
  </si>
  <si>
    <t xml:space="preserve">نامه درخواست چک شود </t>
  </si>
  <si>
    <t>کارکرد5</t>
  </si>
  <si>
    <t>جدول محاسبه تمدید پیمان ناشی از تأخیر در پرداخت  تعدیل ها</t>
  </si>
  <si>
    <t>تعدیل شماره 1</t>
  </si>
  <si>
    <t>تعدیل شماره 2</t>
  </si>
  <si>
    <t xml:space="preserve">شناسنامه پروژه </t>
  </si>
  <si>
    <t>قسط دوم پیش پرداخت</t>
  </si>
  <si>
    <t>قسط سوم پیش پرداخت</t>
  </si>
  <si>
    <t>جدول محاسبه تمدید پیمان ناشی از تأخیر در پرداخت  صورت وضعیت های موقت</t>
  </si>
  <si>
    <t>شرح مطالبات</t>
  </si>
  <si>
    <t>ردیف</t>
  </si>
  <si>
    <t>تاریخ تحویل موقت :</t>
  </si>
  <si>
    <t>کارکرد4</t>
  </si>
  <si>
    <t>کارکرد6</t>
  </si>
  <si>
    <t>کارکرد7</t>
  </si>
  <si>
    <t>کارکرد8</t>
  </si>
  <si>
    <t>کارکرد9</t>
  </si>
  <si>
    <t>کارکرد10</t>
  </si>
  <si>
    <t>کارکرد11</t>
  </si>
  <si>
    <t>کارکرد12</t>
  </si>
  <si>
    <t>کارکرد13</t>
  </si>
  <si>
    <t>کارکرد14</t>
  </si>
  <si>
    <t>کارکرد15</t>
  </si>
  <si>
    <t>علی الحساب</t>
  </si>
  <si>
    <t>کارکرد16</t>
  </si>
  <si>
    <t>کارکرد17</t>
  </si>
  <si>
    <t>کارکرد18</t>
  </si>
  <si>
    <t>کارکرد19</t>
  </si>
  <si>
    <t>کارکرد20</t>
  </si>
  <si>
    <t>کارکرد21</t>
  </si>
  <si>
    <t>کارکرد22</t>
  </si>
  <si>
    <t>کارکرد23</t>
  </si>
  <si>
    <t>کارکرد24</t>
  </si>
  <si>
    <t>کارکرد25</t>
  </si>
  <si>
    <t>کارکرد26</t>
  </si>
  <si>
    <t>تعدیل شماره 3</t>
  </si>
  <si>
    <t>تعدیل شماره 4</t>
  </si>
  <si>
    <t>تعدیل شماره 5</t>
  </si>
  <si>
    <t>تعدیل شماره 6</t>
  </si>
  <si>
    <t>تعدیل شماره 7</t>
  </si>
  <si>
    <t>تعدیل شماره 8</t>
  </si>
  <si>
    <t>تعدیل شماره 9</t>
  </si>
  <si>
    <t>تعدیل شماره 10</t>
  </si>
  <si>
    <t>تعدیل شماره 11</t>
  </si>
  <si>
    <t>تعدیل شماره 12</t>
  </si>
  <si>
    <t>تعدیل شماره 13</t>
  </si>
  <si>
    <t>تعدیل شماره 14</t>
  </si>
  <si>
    <t>تعدیل شماره 15</t>
  </si>
  <si>
    <t>تعدیل شماره 16</t>
  </si>
  <si>
    <t>تعدیل شماره 17</t>
  </si>
  <si>
    <t>تعدیل شماره 18</t>
  </si>
  <si>
    <t>تعدیل شماره 19</t>
  </si>
  <si>
    <t>تعدیل شماره 20</t>
  </si>
  <si>
    <t>تعدیل شماره 21</t>
  </si>
  <si>
    <t>تعدیل شماره 22</t>
  </si>
  <si>
    <t>ردیفهای مشمول</t>
  </si>
  <si>
    <t>حداکثر مدت تاخیر مجاز</t>
  </si>
  <si>
    <t>مجموع تمدید ردیف‌های دوره</t>
  </si>
  <si>
    <t>مدت تمدید قابل قبول برای دوره</t>
  </si>
  <si>
    <t>تاریخ شروع تمدید</t>
  </si>
  <si>
    <t xml:space="preserve">مدت تمدید </t>
  </si>
  <si>
    <t>تاریخ شروع پروژه :</t>
  </si>
  <si>
    <t>تاریخ پروژه با تمدید پیمان :</t>
  </si>
  <si>
    <t>کارکرد27</t>
  </si>
  <si>
    <t>کارکرد28</t>
  </si>
  <si>
    <t>کارکرد29</t>
  </si>
  <si>
    <t>کارکرد30</t>
  </si>
  <si>
    <t>کارکرد31</t>
  </si>
  <si>
    <t>کارکرد32</t>
  </si>
  <si>
    <t>کارکرد33</t>
  </si>
  <si>
    <t>تعدیل شماره 24</t>
  </si>
  <si>
    <t>تعدیل شماره 25</t>
  </si>
  <si>
    <t>تعدیل شماره 26</t>
  </si>
  <si>
    <t>تعدیل شماره 27</t>
  </si>
  <si>
    <t>تعدیل شماره 28</t>
  </si>
  <si>
    <t>تعدیل شماره 23-2</t>
  </si>
  <si>
    <t>تعدیل شماره 23-1</t>
  </si>
  <si>
    <t>4/6/7/8/9/10/12/13/14/15/16/17/18/19/20/21/22/23/24/25/26/27/28/29/30/31/32/33/34/35/36/37/38/39/40/41/42/43/44/45/46/47/48/49/50/51/52/53/54/55/56/57/58/59/60/61/62</t>
  </si>
  <si>
    <t>کارفرما</t>
  </si>
  <si>
    <t>مشاور</t>
  </si>
  <si>
    <t>پیمانکار</t>
  </si>
  <si>
    <t>پروژه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</si>
</sst>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.00_);_(* \(#,##0.00\);_(* &quot;-&quot;??_);_(@_)"/>
    <numFmt numFmtId="165" formatCode="[$-960429]dd/mm/yyyy;@"/>
    <numFmt numFmtId="166" formatCode="[$-160429]dd/mm/yyyy;@"/>
    <numFmt numFmtId="167" formatCode="_-* #,##0_-;_-* #,##0\-;_-* &quot;-&quot;??_-;_-@_-"/>
    <numFmt numFmtId="168" formatCode="[$-960429]d\ mmmm\ yyyy;@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theme="1"/>
      <name val="B Nazanin"/>
      <charset val="178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B Titr"/>
      <charset val="178"/>
    </font>
    <font>
      <b/>
      <sz val="12"/>
      <color theme="1"/>
      <name val="B Nazanin"/>
      <charset val="178"/>
    </font>
    <font>
      <sz val="12"/>
      <color theme="3" tint="-0.249977111117893"/>
      <name val="B Zar"/>
      <charset val="178"/>
    </font>
    <font>
      <sz val="14"/>
      <color theme="1"/>
      <name val="B Nazanin"/>
      <charset val="178"/>
    </font>
    <font>
      <b/>
      <sz val="10"/>
      <color theme="1"/>
      <name val="B Nazanin"/>
      <charset val="178"/>
    </font>
    <font>
      <sz val="10"/>
      <color theme="1"/>
      <name val="B Nazanin"/>
      <charset val="178"/>
    </font>
    <font>
      <sz val="16"/>
      <color rgb="FF000000"/>
      <name val="Arial"/>
      <family val="2"/>
    </font>
    <font>
      <b/>
      <sz val="14"/>
      <color theme="1"/>
      <name val="B Nazanin"/>
      <charset val="178"/>
    </font>
    <font>
      <sz val="14"/>
      <color theme="3" tint="-0.249977111117893"/>
      <name val="B Zar"/>
      <charset val="17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 applyBorder="1" applyAlignment="1">
      <alignment horizontal="center" vertical="center" wrapText="1"/>
    </xf>
    <xf numFmtId="14" fontId="1" fillId="0" borderId="0" xfId="0" applyNumberFormat="1" applyFont="1" applyBorder="1" applyAlignment="1">
      <alignment horizontal="center" vertical="center" wrapText="1"/>
    </xf>
    <xf numFmtId="0" fontId="0" fillId="0" borderId="0" xfId="0" applyBorder="1"/>
    <xf numFmtId="0" fontId="0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0" xfId="0" applyAlignment="1"/>
    <xf numFmtId="0" fontId="0" fillId="0" borderId="0" xfId="0" applyBorder="1" applyAlignment="1"/>
    <xf numFmtId="0" fontId="1" fillId="0" borderId="0" xfId="0" applyFont="1" applyBorder="1" applyAlignment="1">
      <alignment horizontal="center" wrapText="1"/>
    </xf>
    <xf numFmtId="3" fontId="1" fillId="0" borderId="1" xfId="0" applyNumberFormat="1" applyFont="1" applyFill="1" applyBorder="1" applyAlignment="1">
      <alignment horizontal="center" wrapText="1"/>
    </xf>
    <xf numFmtId="166" fontId="0" fillId="0" borderId="0" xfId="0" applyNumberFormat="1" applyBorder="1" applyAlignment="1"/>
    <xf numFmtId="0" fontId="3" fillId="0" borderId="8" xfId="0" applyFont="1" applyBorder="1" applyAlignment="1">
      <alignment horizontal="right" vertical="center"/>
    </xf>
    <xf numFmtId="0" fontId="0" fillId="0" borderId="9" xfId="0" applyBorder="1"/>
    <xf numFmtId="167" fontId="0" fillId="0" borderId="9" xfId="1" applyNumberFormat="1" applyFont="1" applyBorder="1"/>
    <xf numFmtId="0" fontId="3" fillId="0" borderId="14" xfId="0" applyFont="1" applyBorder="1" applyAlignment="1">
      <alignment horizontal="right" vertical="center"/>
    </xf>
    <xf numFmtId="167" fontId="0" fillId="0" borderId="0" xfId="1" applyNumberFormat="1" applyFont="1" applyBorder="1"/>
    <xf numFmtId="0" fontId="3" fillId="0" borderId="0" xfId="0" applyFont="1" applyBorder="1" applyAlignment="1">
      <alignment vertical="center"/>
    </xf>
    <xf numFmtId="0" fontId="0" fillId="0" borderId="10" xfId="0" applyBorder="1"/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horizontal="right" vertical="center"/>
    </xf>
    <xf numFmtId="165" fontId="3" fillId="0" borderId="17" xfId="0" applyNumberFormat="1" applyFont="1" applyBorder="1" applyAlignment="1">
      <alignment vertical="center"/>
    </xf>
    <xf numFmtId="167" fontId="0" fillId="0" borderId="8" xfId="1" applyNumberFormat="1" applyFont="1" applyBorder="1"/>
    <xf numFmtId="0" fontId="0" fillId="0" borderId="14" xfId="0" applyBorder="1"/>
    <xf numFmtId="0" fontId="3" fillId="0" borderId="14" xfId="0" applyFont="1" applyBorder="1" applyAlignment="1">
      <alignment vertical="center"/>
    </xf>
    <xf numFmtId="0" fontId="0" fillId="0" borderId="19" xfId="0" applyBorder="1"/>
    <xf numFmtId="0" fontId="5" fillId="0" borderId="20" xfId="0" applyFont="1" applyBorder="1" applyAlignment="1">
      <alignment horizontal="center"/>
    </xf>
    <xf numFmtId="0" fontId="5" fillId="0" borderId="23" xfId="0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wrapText="1"/>
    </xf>
    <xf numFmtId="1" fontId="1" fillId="0" borderId="34" xfId="0" applyNumberFormat="1" applyFont="1" applyFill="1" applyBorder="1" applyAlignment="1">
      <alignment horizontal="center" wrapText="1"/>
    </xf>
    <xf numFmtId="0" fontId="1" fillId="0" borderId="35" xfId="0" applyFont="1" applyBorder="1" applyAlignment="1">
      <alignment horizontal="center" wrapText="1"/>
    </xf>
    <xf numFmtId="0" fontId="0" fillId="0" borderId="36" xfId="0" applyBorder="1"/>
    <xf numFmtId="0" fontId="5" fillId="0" borderId="21" xfId="0" applyFont="1" applyBorder="1" applyAlignment="1"/>
    <xf numFmtId="0" fontId="5" fillId="0" borderId="20" xfId="0" applyFont="1" applyBorder="1" applyAlignment="1">
      <alignment horizontal="center"/>
    </xf>
    <xf numFmtId="3" fontId="1" fillId="4" borderId="34" xfId="0" applyNumberFormat="1" applyFont="1" applyFill="1" applyBorder="1" applyAlignment="1">
      <alignment horizontal="center" wrapText="1"/>
    </xf>
    <xf numFmtId="0" fontId="4" fillId="0" borderId="28" xfId="0" applyFont="1" applyBorder="1" applyAlignment="1">
      <alignment horizontal="center" vertical="center" wrapText="1"/>
    </xf>
    <xf numFmtId="168" fontId="1" fillId="4" borderId="34" xfId="0" applyNumberFormat="1" applyFont="1" applyFill="1" applyBorder="1" applyAlignment="1">
      <alignment horizontal="center" wrapText="1"/>
    </xf>
    <xf numFmtId="168" fontId="1" fillId="0" borderId="34" xfId="0" applyNumberFormat="1" applyFont="1" applyFill="1" applyBorder="1" applyAlignment="1">
      <alignment horizontal="center" wrapText="1"/>
    </xf>
    <xf numFmtId="168" fontId="1" fillId="0" borderId="1" xfId="0" applyNumberFormat="1" applyFont="1" applyFill="1" applyBorder="1" applyAlignment="1">
      <alignment horizontal="center" wrapText="1"/>
    </xf>
    <xf numFmtId="0" fontId="8" fillId="0" borderId="8" xfId="0" applyFont="1" applyBorder="1" applyAlignment="1">
      <alignment horizontal="right" vertical="center"/>
    </xf>
    <xf numFmtId="0" fontId="4" fillId="0" borderId="9" xfId="0" applyFont="1" applyBorder="1"/>
    <xf numFmtId="167" fontId="4" fillId="0" borderId="8" xfId="1" applyNumberFormat="1" applyFont="1" applyBorder="1"/>
    <xf numFmtId="167" fontId="4" fillId="0" borderId="9" xfId="1" applyNumberFormat="1" applyFont="1" applyBorder="1"/>
    <xf numFmtId="0" fontId="4" fillId="0" borderId="10" xfId="0" applyFont="1" applyBorder="1"/>
    <xf numFmtId="0" fontId="8" fillId="0" borderId="14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4" fillId="0" borderId="0" xfId="0" applyFont="1" applyBorder="1"/>
    <xf numFmtId="0" fontId="4" fillId="0" borderId="14" xfId="0" applyFont="1" applyBorder="1"/>
    <xf numFmtId="167" fontId="4" fillId="0" borderId="0" xfId="1" applyNumberFormat="1" applyFont="1" applyBorder="1"/>
    <xf numFmtId="0" fontId="4" fillId="0" borderId="15" xfId="0" applyFont="1" applyBorder="1"/>
    <xf numFmtId="0" fontId="8" fillId="0" borderId="0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8" fillId="0" borderId="15" xfId="0" applyFont="1" applyBorder="1" applyAlignment="1">
      <alignment vertical="center"/>
    </xf>
    <xf numFmtId="0" fontId="8" fillId="0" borderId="16" xfId="0" applyFont="1" applyBorder="1" applyAlignment="1">
      <alignment horizontal="right" vertical="center"/>
    </xf>
    <xf numFmtId="165" fontId="8" fillId="0" borderId="17" xfId="0" applyNumberFormat="1" applyFont="1" applyBorder="1" applyAlignment="1">
      <alignment vertical="center"/>
    </xf>
    <xf numFmtId="165" fontId="8" fillId="0" borderId="16" xfId="0" applyNumberFormat="1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28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8" fillId="0" borderId="0" xfId="0" applyFont="1" applyAlignment="1">
      <alignment horizontal="right" vertical="center"/>
    </xf>
    <xf numFmtId="1" fontId="4" fillId="0" borderId="0" xfId="0" applyNumberFormat="1" applyFont="1"/>
    <xf numFmtId="0" fontId="3" fillId="0" borderId="0" xfId="0" applyFont="1" applyAlignment="1">
      <alignment vertical="center"/>
    </xf>
    <xf numFmtId="3" fontId="4" fillId="0" borderId="0" xfId="0" applyNumberFormat="1" applyFont="1"/>
    <xf numFmtId="168" fontId="8" fillId="0" borderId="17" xfId="0" applyNumberFormat="1" applyFont="1" applyBorder="1" applyAlignment="1">
      <alignment vertical="center"/>
    </xf>
    <xf numFmtId="0" fontId="3" fillId="0" borderId="15" xfId="0" applyFont="1" applyBorder="1" applyAlignment="1">
      <alignment horizontal="right" vertical="center"/>
    </xf>
    <xf numFmtId="0" fontId="8" fillId="0" borderId="10" xfId="0" applyFont="1" applyBorder="1" applyAlignment="1">
      <alignment horizontal="right" vertical="center"/>
    </xf>
    <xf numFmtId="0" fontId="8" fillId="0" borderId="15" xfId="0" applyFont="1" applyBorder="1" applyAlignment="1">
      <alignment horizontal="right" vertical="center"/>
    </xf>
    <xf numFmtId="168" fontId="3" fillId="0" borderId="17" xfId="0" applyNumberFormat="1" applyFont="1" applyBorder="1" applyAlignment="1">
      <alignment vertical="center"/>
    </xf>
    <xf numFmtId="0" fontId="10" fillId="0" borderId="44" xfId="0" applyFont="1" applyBorder="1" applyAlignment="1">
      <alignment horizontal="center" wrapText="1"/>
    </xf>
    <xf numFmtId="168" fontId="10" fillId="4" borderId="45" xfId="0" applyNumberFormat="1" applyFont="1" applyFill="1" applyBorder="1" applyAlignment="1">
      <alignment horizontal="center" wrapText="1"/>
    </xf>
    <xf numFmtId="3" fontId="10" fillId="4" borderId="45" xfId="0" applyNumberFormat="1" applyFont="1" applyFill="1" applyBorder="1" applyAlignment="1">
      <alignment horizontal="center" wrapText="1"/>
    </xf>
    <xf numFmtId="168" fontId="10" fillId="4" borderId="42" xfId="0" applyNumberFormat="1" applyFont="1" applyFill="1" applyBorder="1" applyAlignment="1">
      <alignment wrapText="1"/>
    </xf>
    <xf numFmtId="0" fontId="10" fillId="0" borderId="45" xfId="0" applyFont="1" applyFill="1" applyBorder="1" applyAlignment="1">
      <alignment horizontal="center" wrapText="1"/>
    </xf>
    <xf numFmtId="0" fontId="10" fillId="0" borderId="45" xfId="0" applyNumberFormat="1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168" fontId="8" fillId="6" borderId="18" xfId="0" applyNumberFormat="1" applyFont="1" applyFill="1" applyBorder="1" applyAlignment="1">
      <alignment vertical="center"/>
    </xf>
    <xf numFmtId="0" fontId="1" fillId="0" borderId="1" xfId="0" applyFont="1" applyBorder="1" applyAlignment="1">
      <alignment horizontal="center" wrapText="1"/>
    </xf>
    <xf numFmtId="168" fontId="1" fillId="6" borderId="1" xfId="0" applyNumberFormat="1" applyFont="1" applyFill="1" applyBorder="1" applyAlignment="1">
      <alignment horizontal="center" wrapText="1"/>
    </xf>
    <xf numFmtId="3" fontId="1" fillId="6" borderId="1" xfId="0" applyNumberFormat="1" applyFont="1" applyFill="1" applyBorder="1" applyAlignment="1">
      <alignment horizontal="center" wrapText="1"/>
    </xf>
    <xf numFmtId="0" fontId="9" fillId="0" borderId="1" xfId="0" applyFont="1" applyBorder="1" applyAlignment="1">
      <alignment horizontal="right" wrapText="1"/>
    </xf>
    <xf numFmtId="1" fontId="1" fillId="0" borderId="1" xfId="0" applyNumberFormat="1" applyFont="1" applyBorder="1" applyAlignment="1">
      <alignment horizontal="center" wrapText="1"/>
    </xf>
    <xf numFmtId="1" fontId="10" fillId="0" borderId="42" xfId="0" applyNumberFormat="1" applyFont="1" applyFill="1" applyBorder="1" applyAlignment="1">
      <alignment horizontal="center" wrapText="1"/>
    </xf>
    <xf numFmtId="166" fontId="1" fillId="4" borderId="1" xfId="0" applyNumberFormat="1" applyFont="1" applyFill="1" applyBorder="1" applyAlignment="1">
      <alignment horizontal="center" wrapText="1"/>
    </xf>
    <xf numFmtId="0" fontId="8" fillId="0" borderId="1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/>
    </xf>
    <xf numFmtId="0" fontId="3" fillId="0" borderId="0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167" fontId="0" fillId="0" borderId="15" xfId="1" applyNumberFormat="1" applyFont="1" applyBorder="1"/>
    <xf numFmtId="165" fontId="3" fillId="0" borderId="11" xfId="0" applyNumberFormat="1" applyFont="1" applyBorder="1" applyAlignment="1">
      <alignment vertical="center"/>
    </xf>
    <xf numFmtId="165" fontId="3" fillId="0" borderId="12" xfId="0" applyNumberFormat="1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0" fillId="0" borderId="0" xfId="0" applyAlignment="1">
      <alignment horizontal="center" vertical="center"/>
    </xf>
    <xf numFmtId="168" fontId="8" fillId="6" borderId="18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3" fontId="1" fillId="6" borderId="1" xfId="0" applyNumberFormat="1" applyFont="1" applyFill="1" applyBorder="1" applyAlignment="1">
      <alignment horizontal="center" vertical="center" wrapText="1"/>
    </xf>
    <xf numFmtId="168" fontId="1" fillId="6" borderId="1" xfId="0" applyNumberFormat="1" applyFont="1" applyFill="1" applyBorder="1" applyAlignment="1">
      <alignment horizontal="center" vertical="center" wrapText="1"/>
    </xf>
    <xf numFmtId="168" fontId="1" fillId="7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wrapText="1"/>
    </xf>
    <xf numFmtId="0" fontId="8" fillId="0" borderId="49" xfId="0" applyFont="1" applyBorder="1" applyAlignment="1">
      <alignment horizontal="right" vertical="center"/>
    </xf>
    <xf numFmtId="168" fontId="8" fillId="6" borderId="50" xfId="0" applyNumberFormat="1" applyFont="1" applyFill="1" applyBorder="1" applyAlignment="1">
      <alignment horizontal="center" vertical="center"/>
    </xf>
    <xf numFmtId="0" fontId="10" fillId="0" borderId="47" xfId="0" applyFont="1" applyBorder="1" applyAlignment="1">
      <alignment horizontal="center" wrapText="1"/>
    </xf>
    <xf numFmtId="0" fontId="10" fillId="0" borderId="39" xfId="0" applyFont="1" applyFill="1" applyBorder="1" applyAlignment="1">
      <alignment horizontal="center" wrapText="1"/>
    </xf>
    <xf numFmtId="0" fontId="10" fillId="0" borderId="39" xfId="0" applyNumberFormat="1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0" fillId="0" borderId="0" xfId="0" applyNumberFormat="1" applyBorder="1" applyAlignment="1"/>
    <xf numFmtId="0" fontId="1" fillId="0" borderId="1" xfId="0" applyFont="1" applyFill="1" applyBorder="1" applyAlignment="1">
      <alignment horizontal="center" wrapText="1"/>
    </xf>
    <xf numFmtId="1" fontId="1" fillId="0" borderId="1" xfId="0" applyNumberFormat="1" applyFont="1" applyFill="1" applyBorder="1" applyAlignment="1">
      <alignment horizontal="center" wrapText="1"/>
    </xf>
    <xf numFmtId="0" fontId="0" fillId="0" borderId="0" xfId="0" applyAlignment="1">
      <alignment vertical="center"/>
    </xf>
    <xf numFmtId="0" fontId="11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4" fillId="0" borderId="10" xfId="0" applyFont="1" applyBorder="1" applyAlignment="1">
      <alignment vertical="center"/>
    </xf>
    <xf numFmtId="0" fontId="5" fillId="0" borderId="23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165" fontId="1" fillId="0" borderId="1" xfId="0" applyNumberFormat="1" applyFont="1" applyFill="1" applyBorder="1" applyAlignment="1">
      <alignment horizontal="center" vertical="center" wrapText="1"/>
    </xf>
    <xf numFmtId="166" fontId="1" fillId="0" borderId="1" xfId="0" applyNumberFormat="1" applyFont="1" applyFill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165" fontId="10" fillId="0" borderId="1" xfId="0" applyNumberFormat="1" applyFont="1" applyFill="1" applyBorder="1" applyAlignment="1">
      <alignment horizontal="center" vertical="center" wrapText="1"/>
    </xf>
    <xf numFmtId="166" fontId="10" fillId="0" borderId="1" xfId="0" applyNumberFormat="1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168" fontId="8" fillId="6" borderId="16" xfId="0" applyNumberFormat="1" applyFont="1" applyFill="1" applyBorder="1" applyAlignment="1">
      <alignment horizontal="center" vertical="center"/>
    </xf>
    <xf numFmtId="168" fontId="8" fillId="6" borderId="17" xfId="0" applyNumberFormat="1" applyFont="1" applyFill="1" applyBorder="1" applyAlignment="1">
      <alignment horizontal="center" vertical="center"/>
    </xf>
    <xf numFmtId="168" fontId="8" fillId="6" borderId="18" xfId="0" applyNumberFormat="1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wrapText="1"/>
    </xf>
    <xf numFmtId="0" fontId="1" fillId="0" borderId="40" xfId="0" applyFont="1" applyFill="1" applyBorder="1" applyAlignment="1">
      <alignment horizontal="center" wrapText="1"/>
    </xf>
    <xf numFmtId="0" fontId="1" fillId="0" borderId="41" xfId="0" applyFont="1" applyFill="1" applyBorder="1" applyAlignment="1">
      <alignment horizontal="center" wrapText="1"/>
    </xf>
    <xf numFmtId="0" fontId="8" fillId="0" borderId="29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justify"/>
    </xf>
    <xf numFmtId="0" fontId="5" fillId="0" borderId="20" xfId="0" applyFont="1" applyBorder="1" applyAlignment="1">
      <alignment horizontal="center"/>
    </xf>
    <xf numFmtId="0" fontId="8" fillId="0" borderId="28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7" fillId="8" borderId="8" xfId="0" applyFont="1" applyFill="1" applyBorder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3" fontId="4" fillId="0" borderId="0" xfId="0" applyNumberFormat="1" applyFont="1" applyBorder="1" applyAlignment="1">
      <alignment horizontal="right"/>
    </xf>
    <xf numFmtId="0" fontId="8" fillId="0" borderId="0" xfId="0" applyFont="1" applyBorder="1" applyAlignment="1">
      <alignment horizontal="right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right" vertical="center"/>
    </xf>
    <xf numFmtId="0" fontId="8" fillId="0" borderId="25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168" fontId="10" fillId="0" borderId="42" xfId="0" applyNumberFormat="1" applyFont="1" applyFill="1" applyBorder="1" applyAlignment="1">
      <alignment horizontal="center" wrapText="1"/>
    </xf>
    <xf numFmtId="168" fontId="10" fillId="0" borderId="43" xfId="0" applyNumberFormat="1" applyFont="1" applyFill="1" applyBorder="1" applyAlignment="1">
      <alignment horizontal="center" wrapText="1"/>
    </xf>
    <xf numFmtId="0" fontId="8" fillId="0" borderId="24" xfId="0" applyFont="1" applyBorder="1" applyAlignment="1">
      <alignment horizontal="center" vertical="center" wrapText="1"/>
    </xf>
    <xf numFmtId="1" fontId="1" fillId="7" borderId="1" xfId="0" applyNumberFormat="1" applyFont="1" applyFill="1" applyBorder="1" applyAlignment="1">
      <alignment horizontal="center" vertical="center" wrapText="1"/>
    </xf>
    <xf numFmtId="1" fontId="4" fillId="0" borderId="0" xfId="0" applyNumberFormat="1" applyFont="1" applyBorder="1" applyAlignment="1">
      <alignment horizontal="right" indent="1"/>
    </xf>
    <xf numFmtId="3" fontId="4" fillId="0" borderId="0" xfId="0" applyNumberFormat="1" applyFont="1" applyBorder="1" applyAlignment="1">
      <alignment horizontal="right" indent="1"/>
    </xf>
    <xf numFmtId="0" fontId="8" fillId="0" borderId="2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24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indent="1"/>
    </xf>
    <xf numFmtId="3" fontId="0" fillId="0" borderId="0" xfId="0" applyNumberFormat="1" applyBorder="1" applyAlignment="1">
      <alignment horizontal="right" inden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'تبصره 3'!$C$1</c:f>
              <c:strCache>
                <c:ptCount val="1"/>
                <c:pt idx="0">
                  <c:v>تاریخ پرداخت طبق پیمان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9.4406053181911434E-2"/>
                  <c:y val="-1.43449803362071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7E51-424C-B278-880112A266C1}"/>
                </c:ext>
              </c:extLst>
            </c:dLbl>
            <c:numFmt formatCode="[$-160429]d\ mmmm\ 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'تبصره 3'!$B$2:$B$59</c:f>
              <c:strCache>
                <c:ptCount val="58"/>
                <c:pt idx="0">
                  <c:v>فسط اول پیش پرداخت </c:v>
                </c:pt>
                <c:pt idx="1">
                  <c:v>قسط دوم پیش پرداخت</c:v>
                </c:pt>
                <c:pt idx="2">
                  <c:v>کارکرد2</c:v>
                </c:pt>
                <c:pt idx="3">
                  <c:v>کارکرد1</c:v>
                </c:pt>
                <c:pt idx="4">
                  <c:v>کارکرد3</c:v>
                </c:pt>
                <c:pt idx="5">
                  <c:v>تعدیل شماره 2</c:v>
                </c:pt>
                <c:pt idx="6">
                  <c:v>تعدیل شماره 3</c:v>
                </c:pt>
                <c:pt idx="7">
                  <c:v>کارکرد4</c:v>
                </c:pt>
                <c:pt idx="8">
                  <c:v>کارکرد5</c:v>
                </c:pt>
                <c:pt idx="9">
                  <c:v>تعدیل شماره 1</c:v>
                </c:pt>
                <c:pt idx="10">
                  <c:v>تعدیل شماره 4</c:v>
                </c:pt>
                <c:pt idx="11">
                  <c:v>کارکرد6</c:v>
                </c:pt>
                <c:pt idx="12">
                  <c:v>کارکرد7</c:v>
                </c:pt>
                <c:pt idx="13">
                  <c:v>کارکرد8</c:v>
                </c:pt>
                <c:pt idx="14">
                  <c:v>تعدیل شماره 5</c:v>
                </c:pt>
                <c:pt idx="15">
                  <c:v>تعدیل شماره 6</c:v>
                </c:pt>
                <c:pt idx="16">
                  <c:v>کارکرد9</c:v>
                </c:pt>
                <c:pt idx="17">
                  <c:v>کارکرد10</c:v>
                </c:pt>
                <c:pt idx="18">
                  <c:v>تعدیل شماره 7</c:v>
                </c:pt>
                <c:pt idx="19">
                  <c:v>تعدیل شماره 8</c:v>
                </c:pt>
                <c:pt idx="20">
                  <c:v>کارکرد11</c:v>
                </c:pt>
                <c:pt idx="21">
                  <c:v>تعدیل شماره 9</c:v>
                </c:pt>
                <c:pt idx="22">
                  <c:v>کارکرد12</c:v>
                </c:pt>
                <c:pt idx="23">
                  <c:v>تعدیل شماره 10</c:v>
                </c:pt>
                <c:pt idx="24">
                  <c:v>کارکرد13</c:v>
                </c:pt>
                <c:pt idx="25">
                  <c:v>کارکرد14</c:v>
                </c:pt>
                <c:pt idx="26">
                  <c:v>تعدیل شماره 11</c:v>
                </c:pt>
                <c:pt idx="27">
                  <c:v>کارکرد15</c:v>
                </c:pt>
                <c:pt idx="28">
                  <c:v>تعدیل شماره 12</c:v>
                </c:pt>
                <c:pt idx="29">
                  <c:v>قسط سوم پیش پرداخت</c:v>
                </c:pt>
                <c:pt idx="30">
                  <c:v>کارکرد16</c:v>
                </c:pt>
                <c:pt idx="31">
                  <c:v>کارکرد17</c:v>
                </c:pt>
                <c:pt idx="32">
                  <c:v>تعدیل شماره 14</c:v>
                </c:pt>
                <c:pt idx="33">
                  <c:v>تعدیل شماره 13</c:v>
                </c:pt>
                <c:pt idx="34">
                  <c:v>تعدیل شماره 15</c:v>
                </c:pt>
                <c:pt idx="35">
                  <c:v>کارکرد18</c:v>
                </c:pt>
                <c:pt idx="36">
                  <c:v>تعدیل شماره 16</c:v>
                </c:pt>
                <c:pt idx="37">
                  <c:v>کارکرد19</c:v>
                </c:pt>
                <c:pt idx="38">
                  <c:v>کارکرد20</c:v>
                </c:pt>
                <c:pt idx="39">
                  <c:v>تعدیل شماره 17</c:v>
                </c:pt>
                <c:pt idx="40">
                  <c:v>تعدیل شماره 18</c:v>
                </c:pt>
                <c:pt idx="41">
                  <c:v>کارکرد21</c:v>
                </c:pt>
                <c:pt idx="42">
                  <c:v>تعدیل شماره 19</c:v>
                </c:pt>
                <c:pt idx="43">
                  <c:v>کارکرد22</c:v>
                </c:pt>
                <c:pt idx="44">
                  <c:v>کارکرد23</c:v>
                </c:pt>
                <c:pt idx="45">
                  <c:v>تعدیل شماره 20</c:v>
                </c:pt>
                <c:pt idx="46">
                  <c:v>کارکرد24</c:v>
                </c:pt>
                <c:pt idx="47">
                  <c:v>کارکرد25</c:v>
                </c:pt>
                <c:pt idx="48">
                  <c:v>تعدیل شماره 21</c:v>
                </c:pt>
                <c:pt idx="49">
                  <c:v>تعدیل شماره 22</c:v>
                </c:pt>
                <c:pt idx="50">
                  <c:v>کارکرد26</c:v>
                </c:pt>
                <c:pt idx="51">
                  <c:v>تعدیل شماره 23-1</c:v>
                </c:pt>
                <c:pt idx="52">
                  <c:v>تعدیل شماره 23-2</c:v>
                </c:pt>
                <c:pt idx="53">
                  <c:v>کارکرد27</c:v>
                </c:pt>
                <c:pt idx="54">
                  <c:v>کارکرد28</c:v>
                </c:pt>
                <c:pt idx="55">
                  <c:v>تعدیل شماره 24</c:v>
                </c:pt>
                <c:pt idx="56">
                  <c:v>تعدیل شماره 25</c:v>
                </c:pt>
                <c:pt idx="57">
                  <c:v>کارکرد29</c:v>
                </c:pt>
              </c:strCache>
            </c:strRef>
          </c:cat>
          <c:val>
            <c:numRef>
              <c:f>'تبصره 3'!$C$2:$C$59</c:f>
              <c:numCache>
                <c:formatCode>[$-960429]dd/mm/yyyy;@</c:formatCode>
                <c:ptCount val="58"/>
                <c:pt idx="0">
                  <c:v>43903</c:v>
                </c:pt>
                <c:pt idx="1">
                  <c:v>43994</c:v>
                </c:pt>
                <c:pt idx="2">
                  <c:v>44029</c:v>
                </c:pt>
                <c:pt idx="3">
                  <c:v>44051</c:v>
                </c:pt>
                <c:pt idx="4">
                  <c:v>44055</c:v>
                </c:pt>
                <c:pt idx="5">
                  <c:v>44081</c:v>
                </c:pt>
                <c:pt idx="6">
                  <c:v>44099</c:v>
                </c:pt>
                <c:pt idx="7">
                  <c:v>44100</c:v>
                </c:pt>
                <c:pt idx="8">
                  <c:v>44116</c:v>
                </c:pt>
                <c:pt idx="9">
                  <c:v>44118</c:v>
                </c:pt>
                <c:pt idx="10">
                  <c:v>44121</c:v>
                </c:pt>
                <c:pt idx="11">
                  <c:v>44161</c:v>
                </c:pt>
                <c:pt idx="12">
                  <c:v>44185</c:v>
                </c:pt>
                <c:pt idx="13">
                  <c:v>44205</c:v>
                </c:pt>
                <c:pt idx="14">
                  <c:v>44208</c:v>
                </c:pt>
                <c:pt idx="15">
                  <c:v>44215</c:v>
                </c:pt>
                <c:pt idx="16">
                  <c:v>44245</c:v>
                </c:pt>
                <c:pt idx="17">
                  <c:v>44258</c:v>
                </c:pt>
                <c:pt idx="18">
                  <c:v>44262</c:v>
                </c:pt>
                <c:pt idx="19">
                  <c:v>44271</c:v>
                </c:pt>
                <c:pt idx="20">
                  <c:v>44274</c:v>
                </c:pt>
                <c:pt idx="21">
                  <c:v>44319</c:v>
                </c:pt>
                <c:pt idx="22">
                  <c:v>44347</c:v>
                </c:pt>
                <c:pt idx="23">
                  <c:v>44357</c:v>
                </c:pt>
                <c:pt idx="24">
                  <c:v>44360</c:v>
                </c:pt>
                <c:pt idx="25">
                  <c:v>44395</c:v>
                </c:pt>
                <c:pt idx="26">
                  <c:v>44404</c:v>
                </c:pt>
                <c:pt idx="27">
                  <c:v>44426</c:v>
                </c:pt>
                <c:pt idx="28">
                  <c:v>44432</c:v>
                </c:pt>
                <c:pt idx="29">
                  <c:v>44441</c:v>
                </c:pt>
                <c:pt idx="30">
                  <c:v>44457</c:v>
                </c:pt>
                <c:pt idx="31">
                  <c:v>44482</c:v>
                </c:pt>
                <c:pt idx="32">
                  <c:v>44484</c:v>
                </c:pt>
                <c:pt idx="33">
                  <c:v>44489</c:v>
                </c:pt>
                <c:pt idx="34">
                  <c:v>44508</c:v>
                </c:pt>
                <c:pt idx="35">
                  <c:v>44520</c:v>
                </c:pt>
                <c:pt idx="36">
                  <c:v>44543</c:v>
                </c:pt>
                <c:pt idx="37">
                  <c:v>44546</c:v>
                </c:pt>
                <c:pt idx="38">
                  <c:v>44574</c:v>
                </c:pt>
                <c:pt idx="39">
                  <c:v>44579</c:v>
                </c:pt>
                <c:pt idx="40">
                  <c:v>44601</c:v>
                </c:pt>
                <c:pt idx="41">
                  <c:v>44606</c:v>
                </c:pt>
                <c:pt idx="42">
                  <c:v>44633</c:v>
                </c:pt>
                <c:pt idx="43">
                  <c:v>44634</c:v>
                </c:pt>
                <c:pt idx="44">
                  <c:v>44659</c:v>
                </c:pt>
                <c:pt idx="45">
                  <c:v>44687</c:v>
                </c:pt>
                <c:pt idx="46">
                  <c:v>44702</c:v>
                </c:pt>
                <c:pt idx="47">
                  <c:v>44726</c:v>
                </c:pt>
                <c:pt idx="48">
                  <c:v>44735</c:v>
                </c:pt>
                <c:pt idx="49">
                  <c:v>44747</c:v>
                </c:pt>
                <c:pt idx="50">
                  <c:v>44755</c:v>
                </c:pt>
                <c:pt idx="51">
                  <c:v>44787</c:v>
                </c:pt>
                <c:pt idx="52">
                  <c:v>44787</c:v>
                </c:pt>
                <c:pt idx="53">
                  <c:v>44792</c:v>
                </c:pt>
                <c:pt idx="54">
                  <c:v>44821</c:v>
                </c:pt>
                <c:pt idx="55">
                  <c:v>44821</c:v>
                </c:pt>
                <c:pt idx="56">
                  <c:v>44855</c:v>
                </c:pt>
                <c:pt idx="57">
                  <c:v>44862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1-424C-B278-880112A266C1}"/>
            </c:ext>
          </c:extLst>
        </c:ser>
        <c:ser>
          <c:idx val="1"/>
          <c:order val="1"/>
          <c:tx>
            <c:strRef>
              <c:f>'تبصره 3'!$E$1</c:f>
              <c:strCache>
                <c:ptCount val="1"/>
                <c:pt idx="0">
                  <c:v>مدت تاخیر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'تبصره 3'!$B$2:$B$59</c:f>
              <c:strCache>
                <c:ptCount val="58"/>
                <c:pt idx="0">
                  <c:v>فسط اول پیش پرداخت </c:v>
                </c:pt>
                <c:pt idx="1">
                  <c:v>قسط دوم پیش پرداخت</c:v>
                </c:pt>
                <c:pt idx="2">
                  <c:v>کارکرد2</c:v>
                </c:pt>
                <c:pt idx="3">
                  <c:v>کارکرد1</c:v>
                </c:pt>
                <c:pt idx="4">
                  <c:v>کارکرد3</c:v>
                </c:pt>
                <c:pt idx="5">
                  <c:v>تعدیل شماره 2</c:v>
                </c:pt>
                <c:pt idx="6">
                  <c:v>تعدیل شماره 3</c:v>
                </c:pt>
                <c:pt idx="7">
                  <c:v>کارکرد4</c:v>
                </c:pt>
                <c:pt idx="8">
                  <c:v>کارکرد5</c:v>
                </c:pt>
                <c:pt idx="9">
                  <c:v>تعدیل شماره 1</c:v>
                </c:pt>
                <c:pt idx="10">
                  <c:v>تعدیل شماره 4</c:v>
                </c:pt>
                <c:pt idx="11">
                  <c:v>کارکرد6</c:v>
                </c:pt>
                <c:pt idx="12">
                  <c:v>کارکرد7</c:v>
                </c:pt>
                <c:pt idx="13">
                  <c:v>کارکرد8</c:v>
                </c:pt>
                <c:pt idx="14">
                  <c:v>تعدیل شماره 5</c:v>
                </c:pt>
                <c:pt idx="15">
                  <c:v>تعدیل شماره 6</c:v>
                </c:pt>
                <c:pt idx="16">
                  <c:v>کارکرد9</c:v>
                </c:pt>
                <c:pt idx="17">
                  <c:v>کارکرد10</c:v>
                </c:pt>
                <c:pt idx="18">
                  <c:v>تعدیل شماره 7</c:v>
                </c:pt>
                <c:pt idx="19">
                  <c:v>تعدیل شماره 8</c:v>
                </c:pt>
                <c:pt idx="20">
                  <c:v>کارکرد11</c:v>
                </c:pt>
                <c:pt idx="21">
                  <c:v>تعدیل شماره 9</c:v>
                </c:pt>
                <c:pt idx="22">
                  <c:v>کارکرد12</c:v>
                </c:pt>
                <c:pt idx="23">
                  <c:v>تعدیل شماره 10</c:v>
                </c:pt>
                <c:pt idx="24">
                  <c:v>کارکرد13</c:v>
                </c:pt>
                <c:pt idx="25">
                  <c:v>کارکرد14</c:v>
                </c:pt>
                <c:pt idx="26">
                  <c:v>تعدیل شماره 11</c:v>
                </c:pt>
                <c:pt idx="27">
                  <c:v>کارکرد15</c:v>
                </c:pt>
                <c:pt idx="28">
                  <c:v>تعدیل شماره 12</c:v>
                </c:pt>
                <c:pt idx="29">
                  <c:v>قسط سوم پیش پرداخت</c:v>
                </c:pt>
                <c:pt idx="30">
                  <c:v>کارکرد16</c:v>
                </c:pt>
                <c:pt idx="31">
                  <c:v>کارکرد17</c:v>
                </c:pt>
                <c:pt idx="32">
                  <c:v>تعدیل شماره 14</c:v>
                </c:pt>
                <c:pt idx="33">
                  <c:v>تعدیل شماره 13</c:v>
                </c:pt>
                <c:pt idx="34">
                  <c:v>تعدیل شماره 15</c:v>
                </c:pt>
                <c:pt idx="35">
                  <c:v>کارکرد18</c:v>
                </c:pt>
                <c:pt idx="36">
                  <c:v>تعدیل شماره 16</c:v>
                </c:pt>
                <c:pt idx="37">
                  <c:v>کارکرد19</c:v>
                </c:pt>
                <c:pt idx="38">
                  <c:v>کارکرد20</c:v>
                </c:pt>
                <c:pt idx="39">
                  <c:v>تعدیل شماره 17</c:v>
                </c:pt>
                <c:pt idx="40">
                  <c:v>تعدیل شماره 18</c:v>
                </c:pt>
                <c:pt idx="41">
                  <c:v>کارکرد21</c:v>
                </c:pt>
                <c:pt idx="42">
                  <c:v>تعدیل شماره 19</c:v>
                </c:pt>
                <c:pt idx="43">
                  <c:v>کارکرد22</c:v>
                </c:pt>
                <c:pt idx="44">
                  <c:v>کارکرد23</c:v>
                </c:pt>
                <c:pt idx="45">
                  <c:v>تعدیل شماره 20</c:v>
                </c:pt>
                <c:pt idx="46">
                  <c:v>کارکرد24</c:v>
                </c:pt>
                <c:pt idx="47">
                  <c:v>کارکرد25</c:v>
                </c:pt>
                <c:pt idx="48">
                  <c:v>تعدیل شماره 21</c:v>
                </c:pt>
                <c:pt idx="49">
                  <c:v>تعدیل شماره 22</c:v>
                </c:pt>
                <c:pt idx="50">
                  <c:v>کارکرد26</c:v>
                </c:pt>
                <c:pt idx="51">
                  <c:v>تعدیل شماره 23-1</c:v>
                </c:pt>
                <c:pt idx="52">
                  <c:v>تعدیل شماره 23-2</c:v>
                </c:pt>
                <c:pt idx="53">
                  <c:v>کارکرد27</c:v>
                </c:pt>
                <c:pt idx="54">
                  <c:v>کارکرد28</c:v>
                </c:pt>
                <c:pt idx="55">
                  <c:v>تعدیل شماره 24</c:v>
                </c:pt>
                <c:pt idx="56">
                  <c:v>تعدیل شماره 25</c:v>
                </c:pt>
                <c:pt idx="57">
                  <c:v>کارکرد29</c:v>
                </c:pt>
              </c:strCache>
            </c:strRef>
          </c:cat>
          <c:val>
            <c:numRef>
              <c:f>'تبصره 3'!$E$2:$E$59</c:f>
              <c:numCache>
                <c:formatCode>0</c:formatCode>
                <c:ptCount val="58"/>
                <c:pt idx="0">
                  <c:v>67</c:v>
                </c:pt>
                <c:pt idx="1">
                  <c:v>30</c:v>
                </c:pt>
                <c:pt idx="2">
                  <c:v>78</c:v>
                </c:pt>
                <c:pt idx="3">
                  <c:v>0</c:v>
                </c:pt>
                <c:pt idx="4">
                  <c:v>52</c:v>
                </c:pt>
                <c:pt idx="5">
                  <c:v>124</c:v>
                </c:pt>
                <c:pt idx="6">
                  <c:v>106</c:v>
                </c:pt>
                <c:pt idx="7">
                  <c:v>17</c:v>
                </c:pt>
                <c:pt idx="8">
                  <c:v>89</c:v>
                </c:pt>
                <c:pt idx="9">
                  <c:v>0</c:v>
                </c:pt>
                <c:pt idx="10">
                  <c:v>84</c:v>
                </c:pt>
                <c:pt idx="11">
                  <c:v>88</c:v>
                </c:pt>
                <c:pt idx="12">
                  <c:v>64</c:v>
                </c:pt>
                <c:pt idx="13">
                  <c:v>44</c:v>
                </c:pt>
                <c:pt idx="14">
                  <c:v>41</c:v>
                </c:pt>
                <c:pt idx="15">
                  <c:v>147</c:v>
                </c:pt>
                <c:pt idx="16">
                  <c:v>20</c:v>
                </c:pt>
                <c:pt idx="17">
                  <c:v>220</c:v>
                </c:pt>
                <c:pt idx="18">
                  <c:v>216</c:v>
                </c:pt>
                <c:pt idx="19">
                  <c:v>113</c:v>
                </c:pt>
                <c:pt idx="20">
                  <c:v>116</c:v>
                </c:pt>
                <c:pt idx="21">
                  <c:v>159</c:v>
                </c:pt>
                <c:pt idx="22">
                  <c:v>43</c:v>
                </c:pt>
                <c:pt idx="23">
                  <c:v>219</c:v>
                </c:pt>
                <c:pt idx="24">
                  <c:v>277</c:v>
                </c:pt>
                <c:pt idx="25">
                  <c:v>242</c:v>
                </c:pt>
                <c:pt idx="26">
                  <c:v>233</c:v>
                </c:pt>
                <c:pt idx="27">
                  <c:v>211</c:v>
                </c:pt>
                <c:pt idx="28">
                  <c:v>205</c:v>
                </c:pt>
                <c:pt idx="29">
                  <c:v>37</c:v>
                </c:pt>
                <c:pt idx="30">
                  <c:v>180</c:v>
                </c:pt>
                <c:pt idx="31">
                  <c:v>155</c:v>
                </c:pt>
                <c:pt idx="32">
                  <c:v>153</c:v>
                </c:pt>
                <c:pt idx="33">
                  <c:v>148</c:v>
                </c:pt>
                <c:pt idx="34">
                  <c:v>366</c:v>
                </c:pt>
                <c:pt idx="35">
                  <c:v>354</c:v>
                </c:pt>
                <c:pt idx="36">
                  <c:v>334</c:v>
                </c:pt>
                <c:pt idx="37">
                  <c:v>331</c:v>
                </c:pt>
                <c:pt idx="38">
                  <c:v>303</c:v>
                </c:pt>
                <c:pt idx="39">
                  <c:v>330</c:v>
                </c:pt>
                <c:pt idx="40">
                  <c:v>276</c:v>
                </c:pt>
                <c:pt idx="41">
                  <c:v>268</c:v>
                </c:pt>
                <c:pt idx="42">
                  <c:v>245</c:v>
                </c:pt>
                <c:pt idx="43">
                  <c:v>240</c:v>
                </c:pt>
                <c:pt idx="44">
                  <c:v>218</c:v>
                </c:pt>
                <c:pt idx="45">
                  <c:v>222</c:v>
                </c:pt>
                <c:pt idx="46">
                  <c:v>175</c:v>
                </c:pt>
                <c:pt idx="47">
                  <c:v>153</c:v>
                </c:pt>
                <c:pt idx="48">
                  <c:v>174</c:v>
                </c:pt>
                <c:pt idx="49">
                  <c:v>162</c:v>
                </c:pt>
                <c:pt idx="50">
                  <c:v>124</c:v>
                </c:pt>
                <c:pt idx="51">
                  <c:v>122</c:v>
                </c:pt>
                <c:pt idx="52">
                  <c:v>237</c:v>
                </c:pt>
                <c:pt idx="53">
                  <c:v>87</c:v>
                </c:pt>
                <c:pt idx="54">
                  <c:v>58</c:v>
                </c:pt>
                <c:pt idx="55">
                  <c:v>203</c:v>
                </c:pt>
                <c:pt idx="56">
                  <c:v>169</c:v>
                </c:pt>
                <c:pt idx="57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1-424C-B278-880112A2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66130448"/>
        <c:axId val="66130864"/>
      </c:barChart>
      <c:catAx>
        <c:axId val="6613044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0864"/>
        <c:crosses val="max"/>
        <c:auto val="1"/>
        <c:lblAlgn val="ctr"/>
        <c:lblOffset val="100"/>
        <c:noMultiLvlLbl val="0"/>
      </c:catAx>
      <c:valAx>
        <c:axId val="66130864"/>
        <c:scaling>
          <c:orientation val="maxMin"/>
          <c:min val="43881"/>
        </c:scaling>
        <c:delete val="0"/>
        <c:axPos val="t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960429]d\ mmmm\ yy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3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0448"/>
        <c:crosses val="autoZero"/>
        <c:crossBetween val="between"/>
        <c:majorUnit val="31"/>
        <c:minorUnit val="6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46" l="0.24" r="0.21" t="0.47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'همپوشاني تبصره 3'!$H$1</c:f>
              <c:strCache>
                <c:ptCount val="1"/>
                <c:pt idx="0">
                  <c:v>تاریخ شروع تمدید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9.4406053181911434E-2"/>
                  <c:y val="-1.43449803362071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27-49CA-B821-66CD2FB39692}"/>
                </c:ext>
              </c:extLst>
            </c:dLbl>
            <c:numFmt formatCode="[$-160429]d\ mmmm\ 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'همپوشاني تبصره 3'!$A$2:$A$6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'همپوشاني تبصره 3'!$H$2:$H$10</c:f>
              <c:numCache>
                <c:formatCode>[$-160429]dd/mm/yyyy;@</c:formatCode>
                <c:ptCount val="9"/>
                <c:pt idx="0">
                  <c:v>43910</c:v>
                </c:pt>
                <c:pt idx="1">
                  <c:v>43995</c:v>
                </c:pt>
                <c:pt idx="2">
                  <c:v>44029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7-49CA-B821-66CD2FB39692}"/>
            </c:ext>
          </c:extLst>
        </c:ser>
        <c:ser>
          <c:idx val="1"/>
          <c:order val="1"/>
          <c:tx>
            <c:strRef>
              <c:f>'همپوشاني تبصره 3'!$G$1</c:f>
              <c:strCache>
                <c:ptCount val="1"/>
                <c:pt idx="0">
                  <c:v>مدت تمدید قابل قبول برای دوره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'همپوشاني تبصره 3'!$A$2:$A$6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'همپوشاني تبصره 3'!$G$2:$G$6</c:f>
              <c:numCache>
                <c:formatCode>0</c:formatCode>
                <c:ptCount val="5"/>
                <c:pt idx="0">
                  <c:v>60</c:v>
                </c:pt>
                <c:pt idx="1">
                  <c:v>29</c:v>
                </c:pt>
                <c:pt idx="2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27-49CA-B821-66CD2FB39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66130448"/>
        <c:axId val="66130864"/>
      </c:barChart>
      <c:catAx>
        <c:axId val="6613044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0864"/>
        <c:crosses val="max"/>
        <c:auto val="1"/>
        <c:lblAlgn val="ctr"/>
        <c:lblOffset val="100"/>
        <c:noMultiLvlLbl val="0"/>
      </c:catAx>
      <c:valAx>
        <c:axId val="66130864"/>
        <c:scaling>
          <c:orientation val="maxMin"/>
          <c:min val="43881"/>
        </c:scaling>
        <c:delete val="0"/>
        <c:axPos val="t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960429]d\ mmmm\ yy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3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0448"/>
        <c:crosses val="autoZero"/>
        <c:crossBetween val="between"/>
        <c:majorUnit val="31"/>
        <c:minorUnit val="6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46" l="0.24" r="0.21" t="0.47" header="0.3" footer="0.3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544606</xdr:colOff>
      <xdr:row>1</xdr:row>
      <xdr:rowOff>198903</xdr:rowOff>
    </xdr:from>
    <xdr:to>
      <xdr:col>23</xdr:col>
      <xdr:colOff>558613</xdr:colOff>
      <xdr:row>40</xdr:row>
      <xdr:rowOff>22412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0</xdr:row>
          <xdr:rowOff>85725</xdr:rowOff>
        </xdr:from>
        <xdr:to>
          <xdr:col>9</xdr:col>
          <xdr:colOff>342900</xdr:colOff>
          <xdr:row>0</xdr:row>
          <xdr:rowOff>647700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تعیین مقطع زمانی تبصره 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649941</xdr:colOff>
      <xdr:row>0</xdr:row>
      <xdr:rowOff>246166</xdr:rowOff>
    </xdr:from>
    <xdr:to>
      <xdr:col>25</xdr:col>
      <xdr:colOff>415636</xdr:colOff>
      <xdr:row>21</xdr:row>
      <xdr:rowOff>67235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I14"/>
  <sheetViews>
    <sheetView rightToLeft="1" tabSelected="1" zoomScale="85" zoomScaleNormal="85" workbookViewId="0">
      <selection activeCell="C25" sqref="C25"/>
    </sheetView>
  </sheetViews>
  <sheetFormatPr defaultRowHeight="15" x14ac:dyDescent="0.25"/>
  <cols>
    <col min="2" max="2" width="15.7109375" bestFit="1" customWidth="1"/>
    <col min="3" max="3" width="49.85546875" customWidth="1"/>
    <col min="5" max="5" width="15" bestFit="1" customWidth="1"/>
    <col min="6" max="6" width="21.42578125" customWidth="1"/>
  </cols>
  <sheetData>
    <row r="2" spans="2:9" ht="15.75" thickBot="1" x14ac:dyDescent="0.3"/>
    <row r="3" spans="2:9" x14ac:dyDescent="0.25">
      <c r="B3" s="136" t="s">
        <v>66</v>
      </c>
      <c r="C3" s="137"/>
      <c r="D3" s="137"/>
      <c r="E3" s="137"/>
      <c r="F3" s="137"/>
      <c r="G3" s="137"/>
      <c r="H3" s="137"/>
      <c r="I3" s="138"/>
    </row>
    <row r="4" spans="2:9" ht="15.75" thickBot="1" x14ac:dyDescent="0.3">
      <c r="B4" s="139"/>
      <c r="C4" s="140"/>
      <c r="D4" s="140"/>
      <c r="E4" s="140"/>
      <c r="F4" s="140"/>
      <c r="G4" s="140"/>
      <c r="H4" s="140"/>
      <c r="I4" s="141"/>
    </row>
    <row r="5" spans="2:9" ht="21" x14ac:dyDescent="0.25">
      <c r="B5" s="41" t="s">
        <v>33</v>
      </c>
      <c r="C5" s="72" t="s">
        <v>139</v>
      </c>
      <c r="D5" s="44"/>
      <c r="E5" s="42"/>
      <c r="F5" s="42"/>
      <c r="G5" s="44"/>
      <c r="H5" s="44"/>
      <c r="I5" s="45"/>
    </row>
    <row r="6" spans="2:9" ht="21" x14ac:dyDescent="0.25">
      <c r="B6" s="46" t="s">
        <v>34</v>
      </c>
      <c r="C6" s="73" t="s">
        <v>140</v>
      </c>
      <c r="D6" s="48" t="s">
        <v>27</v>
      </c>
      <c r="E6" s="66" t="s">
        <v>38</v>
      </c>
      <c r="F6" s="67">
        <v>730</v>
      </c>
      <c r="G6" s="67"/>
      <c r="H6" s="50" t="s">
        <v>41</v>
      </c>
      <c r="I6" s="51"/>
    </row>
    <row r="7" spans="2:9" ht="21" x14ac:dyDescent="0.25">
      <c r="B7" s="46" t="s">
        <v>35</v>
      </c>
      <c r="C7" s="19" t="s">
        <v>141</v>
      </c>
      <c r="D7" s="48" t="s">
        <v>40</v>
      </c>
      <c r="E7" s="66" t="s">
        <v>39</v>
      </c>
      <c r="F7" s="69">
        <v>203000000000</v>
      </c>
      <c r="G7" s="69"/>
      <c r="H7" s="50" t="s">
        <v>42</v>
      </c>
      <c r="I7" s="51"/>
    </row>
    <row r="8" spans="2:9" ht="21" x14ac:dyDescent="0.25">
      <c r="B8" s="46" t="s">
        <v>36</v>
      </c>
      <c r="C8" s="71" t="s">
        <v>142</v>
      </c>
      <c r="D8" s="68"/>
      <c r="E8" s="66" t="s">
        <v>121</v>
      </c>
      <c r="F8" s="67">
        <f>542+27</f>
        <v>569</v>
      </c>
      <c r="G8" s="67"/>
      <c r="H8" s="50" t="s">
        <v>41</v>
      </c>
      <c r="I8" s="54"/>
    </row>
    <row r="9" spans="2:9" ht="21.75" thickBot="1" x14ac:dyDescent="0.3">
      <c r="B9" s="55" t="s">
        <v>37</v>
      </c>
      <c r="C9" s="82">
        <v>43883</v>
      </c>
      <c r="D9" s="142" t="s">
        <v>72</v>
      </c>
      <c r="E9" s="143"/>
      <c r="F9" s="144"/>
      <c r="G9" s="145"/>
      <c r="H9" s="145"/>
      <c r="I9" s="146"/>
    </row>
    <row r="10" spans="2:9" ht="15.75" thickTop="1" x14ac:dyDescent="0.25"/>
    <row r="12" spans="2:9" ht="15.75" thickBot="1" x14ac:dyDescent="0.3"/>
    <row r="13" spans="2:9" ht="21.75" thickBot="1" x14ac:dyDescent="0.3">
      <c r="B13" s="111" t="s">
        <v>122</v>
      </c>
      <c r="C13" s="112">
        <f>F6+C9</f>
        <v>44613</v>
      </c>
    </row>
    <row r="14" spans="2:9" ht="42.75" thickBot="1" x14ac:dyDescent="0.3">
      <c r="B14" s="130" t="s">
        <v>123</v>
      </c>
      <c r="C14" s="102">
        <f>F8+C13</f>
        <v>45182</v>
      </c>
      <c r="F14" s="101"/>
    </row>
  </sheetData>
  <mergeCells count="3">
    <mergeCell ref="B3:I4"/>
    <mergeCell ref="D9:E9"/>
    <mergeCell ref="F9:I9"/>
  </mergeCells>
  <pageMargins left="0.7" right="0.7" top="0.75" bottom="0.75" header="0.3" footer="0.3"/>
  <pageSetup paperSize="9" scale="7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L17"/>
  <sheetViews>
    <sheetView rightToLeft="1" workbookViewId="0">
      <selection activeCell="K12" sqref="K12"/>
    </sheetView>
  </sheetViews>
  <sheetFormatPr defaultRowHeight="15" x14ac:dyDescent="0.25"/>
  <cols>
    <col min="2" max="2" width="14.5703125" bestFit="1" customWidth="1"/>
    <col min="3" max="3" width="15" customWidth="1"/>
    <col min="4" max="4" width="17.42578125" bestFit="1" customWidth="1"/>
    <col min="5" max="5" width="12.5703125" bestFit="1" customWidth="1"/>
    <col min="6" max="6" width="26.42578125" customWidth="1"/>
    <col min="7" max="7" width="17.28515625" customWidth="1"/>
    <col min="8" max="8" width="13.5703125" bestFit="1" customWidth="1"/>
    <col min="9" max="9" width="7.42578125" bestFit="1" customWidth="1"/>
    <col min="10" max="10" width="9.5703125" customWidth="1"/>
    <col min="11" max="11" width="9.42578125" customWidth="1"/>
    <col min="12" max="12" width="14.5703125" customWidth="1"/>
  </cols>
  <sheetData>
    <row r="1" spans="2:12" ht="15.75" thickBot="1" x14ac:dyDescent="0.3"/>
    <row r="2" spans="2:12" x14ac:dyDescent="0.25">
      <c r="B2" s="155" t="s">
        <v>43</v>
      </c>
      <c r="C2" s="156"/>
      <c r="D2" s="156"/>
      <c r="E2" s="156"/>
      <c r="F2" s="156"/>
      <c r="G2" s="156"/>
      <c r="H2" s="156"/>
      <c r="I2" s="156"/>
      <c r="J2" s="156"/>
      <c r="K2" s="156"/>
      <c r="L2" s="157"/>
    </row>
    <row r="3" spans="2:12" ht="15.75" thickBot="1" x14ac:dyDescent="0.3">
      <c r="B3" s="158"/>
      <c r="C3" s="159"/>
      <c r="D3" s="159"/>
      <c r="E3" s="159"/>
      <c r="F3" s="159"/>
      <c r="G3" s="159"/>
      <c r="H3" s="159"/>
      <c r="I3" s="159"/>
      <c r="J3" s="159"/>
      <c r="K3" s="159"/>
      <c r="L3" s="160"/>
    </row>
    <row r="4" spans="2:12" ht="21" x14ac:dyDescent="0.25">
      <c r="B4" s="41" t="s">
        <v>33</v>
      </c>
      <c r="C4" s="173" t="str">
        <f>شناسنامه!C5</f>
        <v>کارفرما</v>
      </c>
      <c r="D4" s="173"/>
      <c r="E4" s="42"/>
      <c r="F4" s="42"/>
      <c r="G4" s="43"/>
      <c r="H4" s="42"/>
      <c r="I4" s="42"/>
      <c r="J4" s="44"/>
      <c r="K4" s="44"/>
      <c r="L4" s="45"/>
    </row>
    <row r="5" spans="2:12" ht="21" x14ac:dyDescent="0.25">
      <c r="B5" s="46" t="s">
        <v>34</v>
      </c>
      <c r="C5" s="164" t="str">
        <f>شناسنامه!C6</f>
        <v>مشاور</v>
      </c>
      <c r="D5" s="164"/>
      <c r="E5" s="48"/>
      <c r="F5" s="48"/>
      <c r="G5" s="49" t="s">
        <v>27</v>
      </c>
      <c r="H5" s="47" t="s">
        <v>38</v>
      </c>
      <c r="I5" s="161">
        <f>شناسنامه!F6</f>
        <v>730</v>
      </c>
      <c r="J5" s="162"/>
      <c r="K5" s="50" t="s">
        <v>41</v>
      </c>
      <c r="L5" s="51"/>
    </row>
    <row r="6" spans="2:12" ht="21" x14ac:dyDescent="0.25">
      <c r="B6" s="46" t="s">
        <v>35</v>
      </c>
      <c r="C6" s="164" t="str">
        <f>شناسنامه!C7</f>
        <v>پیمانکار</v>
      </c>
      <c r="D6" s="164"/>
      <c r="E6" s="48"/>
      <c r="F6" s="48"/>
      <c r="G6" s="49" t="s">
        <v>40</v>
      </c>
      <c r="H6" s="47" t="s">
        <v>39</v>
      </c>
      <c r="I6" s="163">
        <f>شناسنامه!F7</f>
        <v>203000000000</v>
      </c>
      <c r="J6" s="163"/>
      <c r="K6" s="50" t="s">
        <v>42</v>
      </c>
      <c r="L6" s="51"/>
    </row>
    <row r="7" spans="2:12" ht="21" x14ac:dyDescent="0.25">
      <c r="B7" s="46" t="s">
        <v>36</v>
      </c>
      <c r="C7" s="164" t="str">
        <f>شناسنامه!C8</f>
        <v>پروژه</v>
      </c>
      <c r="D7" s="164"/>
      <c r="E7" s="164"/>
      <c r="F7" s="164"/>
      <c r="G7" s="53"/>
      <c r="H7" s="52"/>
      <c r="I7" s="52"/>
      <c r="J7" s="52"/>
      <c r="K7" s="52"/>
      <c r="L7" s="54"/>
    </row>
    <row r="8" spans="2:12" ht="21.75" thickBot="1" x14ac:dyDescent="0.3">
      <c r="B8" s="55" t="s">
        <v>37</v>
      </c>
      <c r="C8" s="70">
        <f>شناسنامه!C9</f>
        <v>43883</v>
      </c>
      <c r="D8" s="56"/>
      <c r="E8" s="56"/>
      <c r="F8" s="56"/>
      <c r="G8" s="57"/>
      <c r="H8" s="56"/>
      <c r="I8" s="56"/>
      <c r="J8" s="58"/>
      <c r="K8" s="58"/>
      <c r="L8" s="59"/>
    </row>
    <row r="9" spans="2:12" ht="18" thickTop="1" x14ac:dyDescent="0.3">
      <c r="B9" s="33" t="s">
        <v>32</v>
      </c>
      <c r="C9" s="35" t="s">
        <v>13</v>
      </c>
      <c r="D9" s="26" t="s">
        <v>14</v>
      </c>
      <c r="E9" s="26" t="s">
        <v>15</v>
      </c>
      <c r="F9" s="35" t="s">
        <v>16</v>
      </c>
      <c r="G9" s="26" t="s">
        <v>17</v>
      </c>
      <c r="H9" s="152" t="s">
        <v>18</v>
      </c>
      <c r="I9" s="152"/>
      <c r="J9" s="152"/>
      <c r="K9" s="26" t="s">
        <v>22</v>
      </c>
      <c r="L9" s="27" t="s">
        <v>28</v>
      </c>
    </row>
    <row r="10" spans="2:12" ht="74.45" customHeight="1" x14ac:dyDescent="0.25">
      <c r="B10" s="167" t="s">
        <v>0</v>
      </c>
      <c r="C10" s="165" t="s">
        <v>45</v>
      </c>
      <c r="D10" s="150" t="s">
        <v>47</v>
      </c>
      <c r="E10" s="168" t="s">
        <v>46</v>
      </c>
      <c r="F10" s="60" t="s">
        <v>2</v>
      </c>
      <c r="G10" s="61" t="s">
        <v>3</v>
      </c>
      <c r="H10" s="153" t="s">
        <v>5</v>
      </c>
      <c r="I10" s="154"/>
      <c r="J10" s="150"/>
      <c r="K10" s="61" t="s">
        <v>6</v>
      </c>
      <c r="L10" s="169" t="s">
        <v>4</v>
      </c>
    </row>
    <row r="11" spans="2:12" ht="19.5" thickBot="1" x14ac:dyDescent="0.3">
      <c r="B11" s="167"/>
      <c r="C11" s="166"/>
      <c r="D11" s="150"/>
      <c r="E11" s="168"/>
      <c r="F11" s="37" t="s">
        <v>48</v>
      </c>
      <c r="G11" s="62" t="s">
        <v>29</v>
      </c>
      <c r="H11" s="170" t="s">
        <v>49</v>
      </c>
      <c r="I11" s="171"/>
      <c r="J11" s="172"/>
      <c r="K11" s="29" t="s">
        <v>27</v>
      </c>
      <c r="L11" s="169"/>
    </row>
    <row r="12" spans="2:12" ht="56.45" customHeight="1" thickBot="1" x14ac:dyDescent="0.5">
      <c r="B12" s="30" t="s">
        <v>44</v>
      </c>
      <c r="C12" s="36">
        <v>16240000000</v>
      </c>
      <c r="D12" s="38">
        <v>43883</v>
      </c>
      <c r="E12" s="38">
        <v>43877</v>
      </c>
      <c r="F12" s="39">
        <f>MAX((D12+20),(E12+10))</f>
        <v>43903</v>
      </c>
      <c r="G12" s="38">
        <v>43970</v>
      </c>
      <c r="H12" s="147">
        <f>IF((G12-F12)&lt;=0,0,(G12-F12))</f>
        <v>67</v>
      </c>
      <c r="I12" s="148"/>
      <c r="J12" s="149"/>
      <c r="K12" s="31">
        <f>ROUND(0.9*H12,0)</f>
        <v>60</v>
      </c>
      <c r="L12" s="32"/>
    </row>
    <row r="13" spans="2:12" ht="15.75" thickTop="1" x14ac:dyDescent="0.25"/>
    <row r="14" spans="2:12" x14ac:dyDescent="0.25">
      <c r="D14" s="151" t="s">
        <v>61</v>
      </c>
    </row>
    <row r="15" spans="2:12" x14ac:dyDescent="0.25">
      <c r="D15" s="151"/>
    </row>
    <row r="16" spans="2:12" x14ac:dyDescent="0.25">
      <c r="D16" s="151"/>
    </row>
    <row r="17" spans="4:4" x14ac:dyDescent="0.25">
      <c r="D17" s="151"/>
    </row>
  </sheetData>
  <mergeCells count="17">
    <mergeCell ref="B2:L3"/>
    <mergeCell ref="I5:J5"/>
    <mergeCell ref="I6:J6"/>
    <mergeCell ref="C7:F7"/>
    <mergeCell ref="C10:C11"/>
    <mergeCell ref="B10:B11"/>
    <mergeCell ref="E10:E11"/>
    <mergeCell ref="L10:L11"/>
    <mergeCell ref="H11:J11"/>
    <mergeCell ref="C5:D5"/>
    <mergeCell ref="C4:D4"/>
    <mergeCell ref="C6:D6"/>
    <mergeCell ref="H12:J12"/>
    <mergeCell ref="D10:D11"/>
    <mergeCell ref="D14:D17"/>
    <mergeCell ref="H9:J9"/>
    <mergeCell ref="H10:J10"/>
  </mergeCells>
  <printOptions horizontalCentered="1" verticalCentered="1"/>
  <pageMargins left="0.7" right="0.7" top="0.75" bottom="0.75" header="0.3" footer="0.3"/>
  <pageSetup paperSize="9" scale="7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N14"/>
  <sheetViews>
    <sheetView rightToLeft="1" zoomScale="85" zoomScaleNormal="85" workbookViewId="0">
      <selection activeCell="E17" sqref="E17"/>
    </sheetView>
  </sheetViews>
  <sheetFormatPr defaultRowHeight="15" x14ac:dyDescent="0.25"/>
  <cols>
    <col min="2" max="2" width="22.42578125" customWidth="1"/>
    <col min="3" max="4" width="19" customWidth="1"/>
    <col min="5" max="5" width="19.28515625" customWidth="1"/>
    <col min="6" max="6" width="18.42578125" customWidth="1"/>
    <col min="7" max="7" width="21.28515625" customWidth="1"/>
    <col min="8" max="8" width="9.7109375" bestFit="1" customWidth="1"/>
    <col min="9" max="9" width="10.5703125" customWidth="1"/>
    <col min="10" max="10" width="20.140625" customWidth="1"/>
    <col min="11" max="11" width="15.42578125" bestFit="1" customWidth="1"/>
    <col min="12" max="12" width="7.7109375" customWidth="1"/>
    <col min="13" max="13" width="11.42578125" bestFit="1" customWidth="1"/>
    <col min="14" max="14" width="10.42578125" customWidth="1"/>
  </cols>
  <sheetData>
    <row r="2" spans="2:14" ht="15.75" thickBot="1" x14ac:dyDescent="0.3"/>
    <row r="3" spans="2:14" x14ac:dyDescent="0.25">
      <c r="B3" s="155" t="s">
        <v>60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ht="15.75" thickBot="1" x14ac:dyDescent="0.3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</row>
    <row r="5" spans="2:14" ht="21" x14ac:dyDescent="0.25">
      <c r="B5" s="41" t="s">
        <v>33</v>
      </c>
      <c r="C5" s="173" t="str">
        <f>شناسنامه!C5</f>
        <v>کارفرما</v>
      </c>
      <c r="D5" s="173"/>
      <c r="E5" s="42"/>
      <c r="F5" s="42"/>
      <c r="G5" s="42"/>
      <c r="H5" s="44"/>
      <c r="I5" s="43"/>
      <c r="J5" s="42"/>
      <c r="K5" s="42"/>
      <c r="L5" s="44"/>
      <c r="M5" s="44"/>
      <c r="N5" s="45"/>
    </row>
    <row r="6" spans="2:14" ht="21" x14ac:dyDescent="0.25">
      <c r="B6" s="46" t="s">
        <v>34</v>
      </c>
      <c r="C6" s="164" t="str">
        <f>شناسنامه!C6</f>
        <v>مشاور</v>
      </c>
      <c r="D6" s="164"/>
      <c r="E6" s="48"/>
      <c r="F6" s="48"/>
      <c r="G6" s="48"/>
      <c r="H6" s="50"/>
      <c r="I6" s="49" t="s">
        <v>27</v>
      </c>
      <c r="J6" s="47" t="s">
        <v>38</v>
      </c>
      <c r="K6" s="161">
        <f>شناسنامه!F6</f>
        <v>730</v>
      </c>
      <c r="L6" s="162"/>
      <c r="M6" s="50" t="s">
        <v>41</v>
      </c>
      <c r="N6" s="51"/>
    </row>
    <row r="7" spans="2:14" ht="21" x14ac:dyDescent="0.25">
      <c r="B7" s="46" t="s">
        <v>35</v>
      </c>
      <c r="C7" s="52" t="str">
        <f>شناسنامه!C7</f>
        <v>پیمانکار</v>
      </c>
      <c r="D7" s="52"/>
      <c r="E7" s="48"/>
      <c r="F7" s="48"/>
      <c r="G7" s="48"/>
      <c r="H7" s="50"/>
      <c r="I7" s="49" t="s">
        <v>40</v>
      </c>
      <c r="J7" s="47" t="s">
        <v>39</v>
      </c>
      <c r="K7" s="163">
        <f>شناسنامه!F7</f>
        <v>203000000000</v>
      </c>
      <c r="L7" s="163"/>
      <c r="M7" s="50" t="s">
        <v>42</v>
      </c>
      <c r="N7" s="51"/>
    </row>
    <row r="8" spans="2:14" ht="21" x14ac:dyDescent="0.25">
      <c r="B8" s="46" t="s">
        <v>36</v>
      </c>
      <c r="C8" s="164" t="str">
        <f>شناسنامه!C8</f>
        <v>پروژه</v>
      </c>
      <c r="D8" s="164"/>
      <c r="E8" s="164"/>
      <c r="F8" s="164"/>
      <c r="G8" s="164"/>
      <c r="H8" s="164"/>
      <c r="I8" s="53"/>
      <c r="J8" s="52"/>
      <c r="K8" s="52"/>
      <c r="L8" s="52"/>
      <c r="M8" s="52"/>
      <c r="N8" s="54"/>
    </row>
    <row r="9" spans="2:14" ht="21.75" thickBot="1" x14ac:dyDescent="0.3">
      <c r="B9" s="55" t="s">
        <v>37</v>
      </c>
      <c r="C9" s="70">
        <f>شناسنامه!C9</f>
        <v>43883</v>
      </c>
      <c r="D9" s="56"/>
      <c r="E9" s="56"/>
      <c r="F9" s="56"/>
      <c r="G9" s="56"/>
      <c r="H9" s="56"/>
      <c r="I9" s="57"/>
      <c r="J9" s="56"/>
      <c r="K9" s="56"/>
      <c r="L9" s="58"/>
      <c r="M9" s="58"/>
      <c r="N9" s="59"/>
    </row>
    <row r="10" spans="2:14" ht="18" thickTop="1" x14ac:dyDescent="0.3">
      <c r="B10" s="25" t="s">
        <v>32</v>
      </c>
      <c r="C10" s="28" t="s">
        <v>13</v>
      </c>
      <c r="D10" s="28" t="s">
        <v>14</v>
      </c>
      <c r="E10" s="28" t="s">
        <v>15</v>
      </c>
      <c r="F10" s="34" t="s">
        <v>16</v>
      </c>
      <c r="G10" s="28" t="s">
        <v>17</v>
      </c>
      <c r="H10" s="175" t="s">
        <v>18</v>
      </c>
      <c r="I10" s="176"/>
      <c r="J10" s="28" t="s">
        <v>19</v>
      </c>
      <c r="K10" s="28" t="s">
        <v>20</v>
      </c>
      <c r="L10" s="28" t="s">
        <v>21</v>
      </c>
      <c r="M10" s="28" t="s">
        <v>22</v>
      </c>
      <c r="N10" s="27" t="s">
        <v>58</v>
      </c>
    </row>
    <row r="11" spans="2:14" ht="84" x14ac:dyDescent="0.25">
      <c r="B11" s="180" t="s">
        <v>50</v>
      </c>
      <c r="C11" s="177" t="s">
        <v>55</v>
      </c>
      <c r="D11" s="177" t="s">
        <v>46</v>
      </c>
      <c r="E11" s="177" t="s">
        <v>51</v>
      </c>
      <c r="F11" s="177" t="s">
        <v>52</v>
      </c>
      <c r="G11" s="177" t="s">
        <v>53</v>
      </c>
      <c r="H11" s="153" t="s">
        <v>2</v>
      </c>
      <c r="I11" s="150"/>
      <c r="J11" s="63" t="s">
        <v>54</v>
      </c>
      <c r="K11" s="61" t="s">
        <v>3</v>
      </c>
      <c r="L11" s="64" t="s">
        <v>56</v>
      </c>
      <c r="M11" s="64" t="s">
        <v>6</v>
      </c>
      <c r="N11" s="174" t="s">
        <v>4</v>
      </c>
    </row>
    <row r="12" spans="2:14" ht="19.5" thickBot="1" x14ac:dyDescent="0.3">
      <c r="B12" s="167"/>
      <c r="C12" s="168"/>
      <c r="D12" s="168"/>
      <c r="E12" s="168"/>
      <c r="F12" s="168"/>
      <c r="G12" s="168"/>
      <c r="H12" s="170" t="s">
        <v>57</v>
      </c>
      <c r="I12" s="172"/>
      <c r="J12" s="37" t="s">
        <v>59</v>
      </c>
      <c r="K12" s="62" t="s">
        <v>29</v>
      </c>
      <c r="L12" s="29" t="s">
        <v>26</v>
      </c>
      <c r="M12" s="29" t="s">
        <v>27</v>
      </c>
      <c r="N12" s="169"/>
    </row>
    <row r="13" spans="2:14" ht="55.15" customHeight="1" thickBot="1" x14ac:dyDescent="0.6">
      <c r="B13" s="75" t="s">
        <v>67</v>
      </c>
      <c r="C13" s="76">
        <v>43948</v>
      </c>
      <c r="D13" s="76">
        <v>43984</v>
      </c>
      <c r="E13" s="77">
        <v>3799614963</v>
      </c>
      <c r="F13" s="76">
        <v>43984</v>
      </c>
      <c r="G13" s="78">
        <v>43970</v>
      </c>
      <c r="H13" s="178">
        <f>MAX((C13+20),(D13+10))</f>
        <v>43994</v>
      </c>
      <c r="I13" s="179"/>
      <c r="J13" s="88">
        <f>F13-G13</f>
        <v>14</v>
      </c>
      <c r="K13" s="76">
        <v>44024</v>
      </c>
      <c r="L13" s="79">
        <f>IF(K13-H13&lt;0,0,K13-H13)</f>
        <v>30</v>
      </c>
      <c r="M13" s="80">
        <f>IFERROR(ROUND(((E13/J13)*($K$6/$K$7)*L13),0),0)</f>
        <v>29</v>
      </c>
      <c r="N13" s="81"/>
    </row>
    <row r="14" spans="2:14" ht="55.15" customHeight="1" thickBot="1" x14ac:dyDescent="0.6">
      <c r="B14" s="113" t="s">
        <v>68</v>
      </c>
      <c r="C14" s="76">
        <v>44363</v>
      </c>
      <c r="D14" s="76">
        <v>44431</v>
      </c>
      <c r="E14" s="77">
        <v>81965327817</v>
      </c>
      <c r="F14" s="76">
        <v>44404</v>
      </c>
      <c r="G14" s="78">
        <v>43970</v>
      </c>
      <c r="H14" s="178">
        <f>MAX((C14+20),(D14+10))</f>
        <v>44441</v>
      </c>
      <c r="I14" s="179"/>
      <c r="J14" s="88">
        <f>F14-G14</f>
        <v>434</v>
      </c>
      <c r="K14" s="76">
        <v>44478</v>
      </c>
      <c r="L14" s="114">
        <f>IF(K14-H14&lt;0,0,K14-H14)</f>
        <v>37</v>
      </c>
      <c r="M14" s="115">
        <f>IFERROR(ROUND(((E14/J14)*($K$6/$K$7)*L14),0),0)</f>
        <v>25</v>
      </c>
      <c r="N14" s="116"/>
    </row>
  </sheetData>
  <mergeCells count="18">
    <mergeCell ref="H13:I13"/>
    <mergeCell ref="H14:I14"/>
    <mergeCell ref="B11:B12"/>
    <mergeCell ref="D11:D12"/>
    <mergeCell ref="E11:E12"/>
    <mergeCell ref="N11:N12"/>
    <mergeCell ref="H10:I10"/>
    <mergeCell ref="C11:C12"/>
    <mergeCell ref="F11:F12"/>
    <mergeCell ref="G11:G12"/>
    <mergeCell ref="H11:I11"/>
    <mergeCell ref="H12:I12"/>
    <mergeCell ref="C8:H8"/>
    <mergeCell ref="B3:N4"/>
    <mergeCell ref="C5:D5"/>
    <mergeCell ref="C6:D6"/>
    <mergeCell ref="K6:L6"/>
    <mergeCell ref="K7:L7"/>
  </mergeCells>
  <printOptions horizontalCentered="1" verticalCentered="1"/>
  <pageMargins left="0.7" right="0.7" top="0.75" bottom="0.75" header="0.3" footer="0.3"/>
  <pageSetup paperSize="9" scale="6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O43"/>
  <sheetViews>
    <sheetView rightToLeft="1" zoomScale="85" zoomScaleNormal="85" workbookViewId="0">
      <selection activeCell="H41" sqref="H41"/>
    </sheetView>
  </sheetViews>
  <sheetFormatPr defaultRowHeight="15" x14ac:dyDescent="0.25"/>
  <cols>
    <col min="1" max="1" width="15.42578125" customWidth="1"/>
    <col min="2" max="3" width="16.42578125" customWidth="1"/>
    <col min="4" max="4" width="15.5703125" customWidth="1"/>
    <col min="5" max="5" width="4.140625" customWidth="1"/>
    <col min="6" max="6" width="6" customWidth="1"/>
    <col min="7" max="7" width="15.7109375" customWidth="1"/>
    <col min="8" max="8" width="16.140625" customWidth="1"/>
    <col min="9" max="9" width="13.5703125" bestFit="1" customWidth="1"/>
    <col min="10" max="10" width="8.42578125" customWidth="1"/>
    <col min="11" max="11" width="11" customWidth="1"/>
    <col min="12" max="12" width="10.7109375" style="120" customWidth="1"/>
    <col min="13" max="13" width="14" customWidth="1"/>
    <col min="14" max="14" width="27.5703125" customWidth="1"/>
    <col min="15" max="15" width="9.140625" customWidth="1"/>
  </cols>
  <sheetData>
    <row r="1" spans="1:15" x14ac:dyDescent="0.25">
      <c r="A1" s="136" t="s">
        <v>69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</row>
    <row r="2" spans="1:15" ht="15.75" thickBot="1" x14ac:dyDescent="0.3">
      <c r="A2" s="139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</row>
    <row r="3" spans="1:15" ht="26.45" customHeight="1" x14ac:dyDescent="0.25">
      <c r="A3" s="41" t="s">
        <v>33</v>
      </c>
      <c r="B3" s="173" t="str">
        <f>شناسنامه!C5</f>
        <v>کارفرما</v>
      </c>
      <c r="C3" s="173"/>
      <c r="D3" s="42"/>
      <c r="E3" s="42"/>
      <c r="F3" s="42"/>
      <c r="G3" s="44"/>
      <c r="H3" s="43"/>
      <c r="I3" s="42"/>
      <c r="J3" s="44"/>
      <c r="K3" s="44"/>
      <c r="L3" s="123"/>
    </row>
    <row r="4" spans="1:15" ht="27" customHeight="1" x14ac:dyDescent="0.25">
      <c r="A4" s="46" t="s">
        <v>34</v>
      </c>
      <c r="B4" s="164" t="str">
        <f>شناسنامه!C6</f>
        <v>مشاور</v>
      </c>
      <c r="C4" s="164"/>
      <c r="D4" s="48"/>
      <c r="E4" s="48"/>
      <c r="F4" s="48"/>
      <c r="G4" s="50"/>
      <c r="H4" s="49" t="s">
        <v>27</v>
      </c>
      <c r="I4" s="47" t="s">
        <v>38</v>
      </c>
      <c r="J4" s="182">
        <f>شناسنامه!F6</f>
        <v>730</v>
      </c>
      <c r="K4" s="182"/>
      <c r="L4" s="54" t="s">
        <v>41</v>
      </c>
    </row>
    <row r="5" spans="1:15" ht="23.45" customHeight="1" x14ac:dyDescent="0.25">
      <c r="A5" s="46" t="s">
        <v>35</v>
      </c>
      <c r="B5" s="52" t="str">
        <f>شناسنامه!C7</f>
        <v>پیمانکار</v>
      </c>
      <c r="C5" s="52"/>
      <c r="D5" s="48"/>
      <c r="E5" s="48"/>
      <c r="F5" s="48"/>
      <c r="G5" s="50"/>
      <c r="H5" s="49" t="s">
        <v>40</v>
      </c>
      <c r="I5" s="47" t="s">
        <v>39</v>
      </c>
      <c r="J5" s="183">
        <f>شناسنامه!F7</f>
        <v>203000000000</v>
      </c>
      <c r="K5" s="183"/>
      <c r="L5" s="54" t="s">
        <v>42</v>
      </c>
    </row>
    <row r="6" spans="1:15" ht="23.45" customHeight="1" x14ac:dyDescent="0.25">
      <c r="A6" s="46" t="s">
        <v>36</v>
      </c>
      <c r="B6" s="164" t="str">
        <f>شناسنامه!C8</f>
        <v>پروژه</v>
      </c>
      <c r="C6" s="164"/>
      <c r="D6" s="164"/>
      <c r="E6" s="164"/>
      <c r="F6" s="164"/>
      <c r="G6" s="164"/>
      <c r="H6" s="53"/>
      <c r="I6" s="52"/>
      <c r="J6" s="52"/>
      <c r="K6" s="52"/>
      <c r="L6" s="54"/>
    </row>
    <row r="7" spans="1:15" ht="23.45" customHeight="1" thickBot="1" x14ac:dyDescent="0.3">
      <c r="A7" s="55" t="s">
        <v>37</v>
      </c>
      <c r="B7" s="70">
        <f>شناسنامه!C9</f>
        <v>43883</v>
      </c>
      <c r="C7" s="56"/>
      <c r="D7" s="56"/>
      <c r="E7" s="56"/>
      <c r="F7" s="56"/>
      <c r="G7" s="56"/>
      <c r="H7" s="57"/>
      <c r="I7" s="56"/>
      <c r="J7" s="58"/>
      <c r="K7" s="58"/>
      <c r="L7" s="59"/>
    </row>
    <row r="8" spans="1:15" ht="15.75" customHeight="1" thickTop="1" x14ac:dyDescent="0.3">
      <c r="A8" s="25" t="s">
        <v>32</v>
      </c>
      <c r="B8" s="26" t="s">
        <v>13</v>
      </c>
      <c r="C8" s="26" t="s">
        <v>14</v>
      </c>
      <c r="D8" s="26" t="s">
        <v>15</v>
      </c>
      <c r="E8" s="175" t="s">
        <v>16</v>
      </c>
      <c r="F8" s="176"/>
      <c r="G8" s="26" t="s">
        <v>17</v>
      </c>
      <c r="H8" s="26" t="s">
        <v>18</v>
      </c>
      <c r="I8" s="26" t="s">
        <v>19</v>
      </c>
      <c r="J8" s="26" t="s">
        <v>21</v>
      </c>
      <c r="K8" s="26" t="s">
        <v>22</v>
      </c>
      <c r="L8" s="124" t="s">
        <v>28</v>
      </c>
    </row>
    <row r="9" spans="1:15" ht="46.5" customHeight="1" x14ac:dyDescent="0.25">
      <c r="A9" s="180" t="s">
        <v>0</v>
      </c>
      <c r="B9" s="177" t="s">
        <v>10</v>
      </c>
      <c r="C9" s="64" t="s">
        <v>1</v>
      </c>
      <c r="D9" s="177" t="s">
        <v>23</v>
      </c>
      <c r="E9" s="187" t="s">
        <v>11</v>
      </c>
      <c r="F9" s="188"/>
      <c r="G9" s="64" t="s">
        <v>2</v>
      </c>
      <c r="H9" s="64" t="s">
        <v>3</v>
      </c>
      <c r="I9" s="64" t="s">
        <v>12</v>
      </c>
      <c r="J9" s="121" t="s">
        <v>5</v>
      </c>
      <c r="K9" s="64" t="s">
        <v>6</v>
      </c>
      <c r="L9" s="174" t="s">
        <v>4</v>
      </c>
      <c r="M9" s="1"/>
      <c r="N9" s="2"/>
      <c r="O9" s="3"/>
    </row>
    <row r="10" spans="1:15" ht="18" customHeight="1" x14ac:dyDescent="0.25">
      <c r="A10" s="189"/>
      <c r="B10" s="190"/>
      <c r="C10" s="6" t="s">
        <v>30</v>
      </c>
      <c r="D10" s="190"/>
      <c r="E10" s="185" t="s">
        <v>31</v>
      </c>
      <c r="F10" s="186"/>
      <c r="G10" s="6" t="s">
        <v>24</v>
      </c>
      <c r="H10" s="65" t="s">
        <v>29</v>
      </c>
      <c r="I10" s="122" t="s">
        <v>25</v>
      </c>
      <c r="J10" s="6" t="s">
        <v>26</v>
      </c>
      <c r="K10" s="6" t="s">
        <v>27</v>
      </c>
      <c r="L10" s="184"/>
      <c r="M10" s="1"/>
      <c r="N10" s="2"/>
      <c r="O10" s="3"/>
    </row>
    <row r="11" spans="1:15" s="7" customFormat="1" ht="30" customHeight="1" x14ac:dyDescent="0.45">
      <c r="A11" s="104" t="s">
        <v>7</v>
      </c>
      <c r="B11" s="105">
        <v>3799614963</v>
      </c>
      <c r="C11" s="103">
        <f>B11</f>
        <v>3799614963</v>
      </c>
      <c r="D11" s="106">
        <v>43984</v>
      </c>
      <c r="E11" s="181">
        <f>IF(I11&lt;=30,20,ROUND(I11*2/3,0))</f>
        <v>67</v>
      </c>
      <c r="F11" s="181"/>
      <c r="G11" s="107">
        <f>D11+E11</f>
        <v>44051</v>
      </c>
      <c r="H11" s="106">
        <v>44012</v>
      </c>
      <c r="I11" s="108">
        <f>D11-B7</f>
        <v>101</v>
      </c>
      <c r="J11" s="108">
        <f t="shared" ref="J11:J12" si="0">IF((H11-G11)&lt;=0,0,(H11-G11))</f>
        <v>0</v>
      </c>
      <c r="K11" s="109">
        <f>ROUND(((C11/I11)*($J$4/$J$5)*J11*0.697),0)</f>
        <v>0</v>
      </c>
      <c r="L11" s="104"/>
      <c r="M11" s="117"/>
      <c r="N11" s="9"/>
      <c r="O11" s="8"/>
    </row>
    <row r="12" spans="1:15" s="7" customFormat="1" ht="30" customHeight="1" x14ac:dyDescent="0.45">
      <c r="A12" s="104" t="s">
        <v>8</v>
      </c>
      <c r="B12" s="105">
        <v>9997156511</v>
      </c>
      <c r="C12" s="103">
        <f t="shared" ref="C12:C43" si="1">B12-B11</f>
        <v>6197541548</v>
      </c>
      <c r="D12" s="106">
        <v>44009</v>
      </c>
      <c r="E12" s="181">
        <f t="shared" ref="E12:E14" si="2">IF(I12&lt;=30,20,ROUND(I12*2/3,0))</f>
        <v>20</v>
      </c>
      <c r="F12" s="181"/>
      <c r="G12" s="107">
        <f t="shared" ref="G12" si="3">D12+E12</f>
        <v>44029</v>
      </c>
      <c r="H12" s="106">
        <v>44107</v>
      </c>
      <c r="I12" s="108">
        <f t="shared" ref="I12:I36" si="4">D12-D11</f>
        <v>25</v>
      </c>
      <c r="J12" s="108">
        <f t="shared" si="0"/>
        <v>78</v>
      </c>
      <c r="K12" s="109">
        <f t="shared" ref="K12:K25" si="5">ROUND(((C12/I12)*($J$4/$J$5)*J12*0.697),0)</f>
        <v>48</v>
      </c>
      <c r="L12" s="104"/>
      <c r="M12" s="117"/>
      <c r="N12" s="9"/>
      <c r="O12" s="8"/>
    </row>
    <row r="13" spans="1:15" s="7" customFormat="1" ht="30" customHeight="1" x14ac:dyDescent="0.45">
      <c r="A13" s="104" t="s">
        <v>9</v>
      </c>
      <c r="B13" s="105">
        <v>23440675931</v>
      </c>
      <c r="C13" s="103">
        <f t="shared" si="1"/>
        <v>13443519420</v>
      </c>
      <c r="D13" s="106">
        <v>44035</v>
      </c>
      <c r="E13" s="181">
        <f t="shared" si="2"/>
        <v>20</v>
      </c>
      <c r="F13" s="181"/>
      <c r="G13" s="107">
        <f t="shared" ref="G13" si="6">D13+E13</f>
        <v>44055</v>
      </c>
      <c r="H13" s="106">
        <v>44107</v>
      </c>
      <c r="I13" s="108">
        <f t="shared" si="4"/>
        <v>26</v>
      </c>
      <c r="J13" s="108">
        <f>IF((H13-G13)&lt;=0,0,(H13-G13))</f>
        <v>52</v>
      </c>
      <c r="K13" s="109">
        <f t="shared" si="5"/>
        <v>67</v>
      </c>
      <c r="L13" s="104"/>
      <c r="M13" s="117"/>
      <c r="N13" s="9"/>
      <c r="O13" s="8"/>
    </row>
    <row r="14" spans="1:15" s="7" customFormat="1" ht="30" customHeight="1" x14ac:dyDescent="0.45">
      <c r="A14" s="104" t="s">
        <v>73</v>
      </c>
      <c r="B14" s="105">
        <v>35587151094</v>
      </c>
      <c r="C14" s="103">
        <f t="shared" si="1"/>
        <v>12146475163</v>
      </c>
      <c r="D14" s="106">
        <v>44074</v>
      </c>
      <c r="E14" s="181">
        <f t="shared" si="2"/>
        <v>26</v>
      </c>
      <c r="F14" s="181"/>
      <c r="G14" s="107">
        <f t="shared" ref="G14:G18" si="7">D14+E14</f>
        <v>44100</v>
      </c>
      <c r="H14" s="106">
        <v>44117</v>
      </c>
      <c r="I14" s="108">
        <f t="shared" si="4"/>
        <v>39</v>
      </c>
      <c r="J14" s="108">
        <f>IF((H14-G14)&lt;=0,0,(H14-G14))</f>
        <v>17</v>
      </c>
      <c r="K14" s="109">
        <f t="shared" si="5"/>
        <v>13</v>
      </c>
      <c r="L14" s="104"/>
      <c r="M14" s="117">
        <f>ROUND(((C14/I14)*($J$4/$J$5)*J14*1),0)</f>
        <v>19</v>
      </c>
      <c r="N14" s="9"/>
      <c r="O14" s="8"/>
    </row>
    <row r="15" spans="1:15" s="7" customFormat="1" ht="30" customHeight="1" x14ac:dyDescent="0.45">
      <c r="A15" s="104" t="s">
        <v>62</v>
      </c>
      <c r="B15" s="105">
        <v>38734399685</v>
      </c>
      <c r="C15" s="103">
        <f t="shared" si="1"/>
        <v>3147248591</v>
      </c>
      <c r="D15" s="106">
        <v>44096</v>
      </c>
      <c r="E15" s="181">
        <f t="shared" ref="E15:E16" si="8">IF(I15&lt;=30,20,ROUND(I15*2/3,0))</f>
        <v>20</v>
      </c>
      <c r="F15" s="181"/>
      <c r="G15" s="107">
        <f t="shared" ref="G15:G16" si="9">D15+E15</f>
        <v>44116</v>
      </c>
      <c r="H15" s="106">
        <v>44205</v>
      </c>
      <c r="I15" s="108">
        <f t="shared" si="4"/>
        <v>22</v>
      </c>
      <c r="J15" s="108">
        <f t="shared" ref="J15:J16" si="10">IF((H15-G15)&lt;=0,0,(H15-G15))</f>
        <v>89</v>
      </c>
      <c r="K15" s="109">
        <f t="shared" si="5"/>
        <v>32</v>
      </c>
      <c r="L15" s="104"/>
      <c r="M15" s="117">
        <f t="shared" ref="M15:M20" si="11">ROUND(((C15/I15)*($J$4/$J$5)*J15*1),0)</f>
        <v>46</v>
      </c>
      <c r="N15" s="9"/>
      <c r="O15" s="8"/>
    </row>
    <row r="16" spans="1:15" s="7" customFormat="1" ht="30" customHeight="1" x14ac:dyDescent="0.45">
      <c r="A16" s="104" t="s">
        <v>74</v>
      </c>
      <c r="B16" s="105">
        <v>41459589537</v>
      </c>
      <c r="C16" s="103">
        <f t="shared" si="1"/>
        <v>2725189852</v>
      </c>
      <c r="D16" s="106">
        <v>44135</v>
      </c>
      <c r="E16" s="181">
        <f t="shared" si="8"/>
        <v>26</v>
      </c>
      <c r="F16" s="181"/>
      <c r="G16" s="107">
        <f t="shared" si="9"/>
        <v>44161</v>
      </c>
      <c r="H16" s="106">
        <v>44249</v>
      </c>
      <c r="I16" s="108">
        <f t="shared" si="4"/>
        <v>39</v>
      </c>
      <c r="J16" s="108">
        <f t="shared" si="10"/>
        <v>88</v>
      </c>
      <c r="K16" s="109">
        <f t="shared" si="5"/>
        <v>15</v>
      </c>
      <c r="L16" s="104"/>
      <c r="M16" s="117">
        <f t="shared" si="11"/>
        <v>22</v>
      </c>
      <c r="N16" s="9"/>
      <c r="O16" s="8"/>
    </row>
    <row r="17" spans="1:15" s="7" customFormat="1" ht="30" customHeight="1" x14ac:dyDescent="0.45">
      <c r="A17" s="104" t="s">
        <v>75</v>
      </c>
      <c r="B17" s="105">
        <v>42822291469</v>
      </c>
      <c r="C17" s="103">
        <f t="shared" si="1"/>
        <v>1362701932</v>
      </c>
      <c r="D17" s="106">
        <v>44165</v>
      </c>
      <c r="E17" s="181">
        <f>IF(I17&lt;=30,20,ROUND(I17*2/3,0))</f>
        <v>20</v>
      </c>
      <c r="F17" s="181"/>
      <c r="G17" s="107">
        <f t="shared" si="7"/>
        <v>44185</v>
      </c>
      <c r="H17" s="106">
        <v>44249</v>
      </c>
      <c r="I17" s="108">
        <f t="shared" si="4"/>
        <v>30</v>
      </c>
      <c r="J17" s="108">
        <f t="shared" ref="J17:J18" si="12">IF((H17-G17)&lt;=0,0,(H17-G17))</f>
        <v>64</v>
      </c>
      <c r="K17" s="109">
        <f t="shared" si="5"/>
        <v>7</v>
      </c>
      <c r="L17" s="104"/>
      <c r="M17" s="117"/>
      <c r="N17" s="9"/>
      <c r="O17" s="8"/>
    </row>
    <row r="18" spans="1:15" s="7" customFormat="1" ht="30" customHeight="1" x14ac:dyDescent="0.45">
      <c r="A18" s="104" t="s">
        <v>76</v>
      </c>
      <c r="B18" s="105">
        <v>46442943884</v>
      </c>
      <c r="C18" s="103">
        <f t="shared" si="1"/>
        <v>3620652415</v>
      </c>
      <c r="D18" s="106">
        <v>44185</v>
      </c>
      <c r="E18" s="181">
        <f>IF(I18&lt;=30,20,ROUND(I18*2/3,0))</f>
        <v>20</v>
      </c>
      <c r="F18" s="181"/>
      <c r="G18" s="107">
        <f t="shared" si="7"/>
        <v>44205</v>
      </c>
      <c r="H18" s="106">
        <v>44249</v>
      </c>
      <c r="I18" s="108">
        <f t="shared" si="4"/>
        <v>20</v>
      </c>
      <c r="J18" s="108">
        <f t="shared" si="12"/>
        <v>44</v>
      </c>
      <c r="K18" s="109">
        <f t="shared" si="5"/>
        <v>20</v>
      </c>
      <c r="L18" s="104"/>
      <c r="M18" s="117">
        <f t="shared" si="11"/>
        <v>29</v>
      </c>
      <c r="N18" s="9"/>
      <c r="O18" s="8"/>
    </row>
    <row r="19" spans="1:15" s="7" customFormat="1" ht="30" customHeight="1" x14ac:dyDescent="0.45">
      <c r="A19" s="104" t="s">
        <v>77</v>
      </c>
      <c r="B19" s="105">
        <v>53875999936</v>
      </c>
      <c r="C19" s="103">
        <f t="shared" si="1"/>
        <v>7433056052</v>
      </c>
      <c r="D19" s="106">
        <v>44221</v>
      </c>
      <c r="E19" s="181">
        <f t="shared" ref="E19:E20" si="13">IF(I19&lt;=30,20,ROUND(I19*2/3,0))</f>
        <v>24</v>
      </c>
      <c r="F19" s="181"/>
      <c r="G19" s="107">
        <f t="shared" ref="G19:G20" si="14">D19+E19</f>
        <v>44245</v>
      </c>
      <c r="H19" s="106">
        <v>44265</v>
      </c>
      <c r="I19" s="108">
        <f t="shared" si="4"/>
        <v>36</v>
      </c>
      <c r="J19" s="108">
        <f t="shared" ref="J19:J20" si="15">IF((H19-G19)&lt;=0,0,(H19-G19))</f>
        <v>20</v>
      </c>
      <c r="K19" s="109">
        <f t="shared" si="5"/>
        <v>10</v>
      </c>
      <c r="L19" s="104"/>
      <c r="M19" s="117">
        <f t="shared" si="11"/>
        <v>15</v>
      </c>
      <c r="N19" s="9"/>
      <c r="O19" s="8"/>
    </row>
    <row r="20" spans="1:15" s="7" customFormat="1" ht="30" customHeight="1" x14ac:dyDescent="0.45">
      <c r="A20" s="104" t="s">
        <v>78</v>
      </c>
      <c r="B20" s="105">
        <v>60041915870</v>
      </c>
      <c r="C20" s="103">
        <f t="shared" si="1"/>
        <v>6165915934</v>
      </c>
      <c r="D20" s="106">
        <v>44238</v>
      </c>
      <c r="E20" s="181">
        <f t="shared" si="13"/>
        <v>20</v>
      </c>
      <c r="F20" s="181"/>
      <c r="G20" s="107">
        <f t="shared" si="14"/>
        <v>44258</v>
      </c>
      <c r="H20" s="106">
        <v>44478</v>
      </c>
      <c r="I20" s="108">
        <f t="shared" si="4"/>
        <v>17</v>
      </c>
      <c r="J20" s="108">
        <f t="shared" si="15"/>
        <v>220</v>
      </c>
      <c r="K20" s="109">
        <f t="shared" si="5"/>
        <v>200</v>
      </c>
      <c r="L20" s="104"/>
      <c r="M20" s="117">
        <f t="shared" si="11"/>
        <v>287</v>
      </c>
      <c r="N20" s="9"/>
      <c r="O20" s="8"/>
    </row>
    <row r="21" spans="1:15" s="7" customFormat="1" ht="30" customHeight="1" x14ac:dyDescent="0.45">
      <c r="A21" s="104" t="s">
        <v>79</v>
      </c>
      <c r="B21" s="105">
        <v>62865240008</v>
      </c>
      <c r="C21" s="103">
        <f t="shared" si="1"/>
        <v>2823324138</v>
      </c>
      <c r="D21" s="106">
        <v>44254</v>
      </c>
      <c r="E21" s="181">
        <f t="shared" ref="E21:E25" si="16">IF(I21&lt;=30,20,ROUND(I21*2/3,0))</f>
        <v>20</v>
      </c>
      <c r="F21" s="181"/>
      <c r="G21" s="107">
        <f t="shared" ref="G21:G25" si="17">D21+E21</f>
        <v>44274</v>
      </c>
      <c r="H21" s="106">
        <v>44390</v>
      </c>
      <c r="I21" s="108">
        <f t="shared" si="4"/>
        <v>16</v>
      </c>
      <c r="J21" s="108">
        <f t="shared" ref="J21:J25" si="18">IF((H21-G21)&lt;=0,0,(H21-G21))</f>
        <v>116</v>
      </c>
      <c r="K21" s="109">
        <f t="shared" si="5"/>
        <v>51</v>
      </c>
      <c r="L21" s="104"/>
      <c r="M21" s="117">
        <f t="shared" ref="M21:M25" si="19">ROUND(((C21/I21)*($J$4/$J$5)*J21*1),0)</f>
        <v>74</v>
      </c>
      <c r="N21" s="9"/>
      <c r="O21" s="8"/>
    </row>
    <row r="22" spans="1:15" s="7" customFormat="1" ht="30" customHeight="1" x14ac:dyDescent="0.45">
      <c r="A22" s="104" t="s">
        <v>80</v>
      </c>
      <c r="B22" s="105">
        <v>67128094544</v>
      </c>
      <c r="C22" s="103">
        <f t="shared" si="1"/>
        <v>4262854536</v>
      </c>
      <c r="D22" s="106">
        <v>44310</v>
      </c>
      <c r="E22" s="181">
        <f t="shared" si="16"/>
        <v>37</v>
      </c>
      <c r="F22" s="181"/>
      <c r="G22" s="107">
        <f t="shared" si="17"/>
        <v>44347</v>
      </c>
      <c r="H22" s="106">
        <v>44390</v>
      </c>
      <c r="I22" s="108">
        <f t="shared" si="4"/>
        <v>56</v>
      </c>
      <c r="J22" s="108">
        <f t="shared" si="18"/>
        <v>43</v>
      </c>
      <c r="K22" s="109">
        <f t="shared" si="5"/>
        <v>8</v>
      </c>
      <c r="L22" s="104"/>
      <c r="M22" s="117">
        <f t="shared" si="19"/>
        <v>12</v>
      </c>
      <c r="N22" s="9"/>
      <c r="O22" s="8"/>
    </row>
    <row r="23" spans="1:15" s="7" customFormat="1" ht="30" customHeight="1" x14ac:dyDescent="0.45">
      <c r="A23" s="104" t="s">
        <v>81</v>
      </c>
      <c r="B23" s="105">
        <v>72396705382</v>
      </c>
      <c r="C23" s="103">
        <f t="shared" si="1"/>
        <v>5268610838</v>
      </c>
      <c r="D23" s="106">
        <v>44340</v>
      </c>
      <c r="E23" s="181">
        <f t="shared" si="16"/>
        <v>20</v>
      </c>
      <c r="F23" s="181"/>
      <c r="G23" s="107">
        <f t="shared" si="17"/>
        <v>44360</v>
      </c>
      <c r="H23" s="106">
        <v>44637</v>
      </c>
      <c r="I23" s="108">
        <f t="shared" si="4"/>
        <v>30</v>
      </c>
      <c r="J23" s="108">
        <f t="shared" si="18"/>
        <v>277</v>
      </c>
      <c r="K23" s="109">
        <f t="shared" si="5"/>
        <v>122</v>
      </c>
      <c r="L23" s="104"/>
      <c r="M23" s="117">
        <f t="shared" si="19"/>
        <v>175</v>
      </c>
      <c r="N23" s="9"/>
      <c r="O23" s="8"/>
    </row>
    <row r="24" spans="1:15" s="7" customFormat="1" ht="30" customHeight="1" x14ac:dyDescent="0.45">
      <c r="A24" s="104" t="s">
        <v>82</v>
      </c>
      <c r="B24" s="105">
        <v>78619174975</v>
      </c>
      <c r="C24" s="103">
        <f t="shared" si="1"/>
        <v>6222469593</v>
      </c>
      <c r="D24" s="106">
        <v>44373</v>
      </c>
      <c r="E24" s="181">
        <f t="shared" si="16"/>
        <v>22</v>
      </c>
      <c r="F24" s="181"/>
      <c r="G24" s="107">
        <f t="shared" si="17"/>
        <v>44395</v>
      </c>
      <c r="H24" s="106">
        <v>44637</v>
      </c>
      <c r="I24" s="108">
        <f t="shared" si="4"/>
        <v>33</v>
      </c>
      <c r="J24" s="108">
        <f t="shared" si="18"/>
        <v>242</v>
      </c>
      <c r="K24" s="109">
        <f t="shared" si="5"/>
        <v>114</v>
      </c>
      <c r="L24" s="104"/>
      <c r="M24" s="117">
        <f t="shared" si="19"/>
        <v>164</v>
      </c>
      <c r="N24" s="9"/>
      <c r="O24" s="8"/>
    </row>
    <row r="25" spans="1:15" s="7" customFormat="1" ht="30" customHeight="1" x14ac:dyDescent="0.45">
      <c r="A25" s="104" t="s">
        <v>83</v>
      </c>
      <c r="B25" s="105">
        <v>81965327817</v>
      </c>
      <c r="C25" s="103">
        <f t="shared" si="1"/>
        <v>3346152842</v>
      </c>
      <c r="D25" s="106">
        <v>44405</v>
      </c>
      <c r="E25" s="181">
        <f t="shared" si="16"/>
        <v>21</v>
      </c>
      <c r="F25" s="181"/>
      <c r="G25" s="107">
        <f t="shared" si="17"/>
        <v>44426</v>
      </c>
      <c r="H25" s="106">
        <v>44637</v>
      </c>
      <c r="I25" s="108">
        <f t="shared" si="4"/>
        <v>32</v>
      </c>
      <c r="J25" s="108">
        <f t="shared" si="18"/>
        <v>211</v>
      </c>
      <c r="K25" s="109">
        <f t="shared" si="5"/>
        <v>55</v>
      </c>
      <c r="L25" s="104"/>
      <c r="M25" s="117">
        <f t="shared" si="19"/>
        <v>79</v>
      </c>
      <c r="N25" s="9"/>
      <c r="O25" s="8"/>
    </row>
    <row r="26" spans="1:15" s="7" customFormat="1" ht="30" customHeight="1" x14ac:dyDescent="0.45">
      <c r="A26" s="104" t="s">
        <v>85</v>
      </c>
      <c r="B26" s="105">
        <v>85314539516</v>
      </c>
      <c r="C26" s="103">
        <f t="shared" si="1"/>
        <v>3349211699</v>
      </c>
      <c r="D26" s="106">
        <v>44436</v>
      </c>
      <c r="E26" s="181">
        <f t="shared" ref="E26:E36" si="20">IF(I26&lt;=30,20,ROUND(I26*2/3,0))</f>
        <v>21</v>
      </c>
      <c r="F26" s="181"/>
      <c r="G26" s="107">
        <f t="shared" ref="G26:G36" si="21">D26+E26</f>
        <v>44457</v>
      </c>
      <c r="H26" s="106">
        <v>44637</v>
      </c>
      <c r="I26" s="108">
        <f t="shared" si="4"/>
        <v>31</v>
      </c>
      <c r="J26" s="108">
        <f t="shared" ref="J26:J36" si="22">IF((H26-G26)&lt;=0,0,(H26-G26))</f>
        <v>180</v>
      </c>
      <c r="K26" s="109">
        <f t="shared" ref="K26:K36" si="23">ROUND(((C26/I26)*($J$4/$J$5)*J26*0.697),0)</f>
        <v>49</v>
      </c>
      <c r="L26" s="104"/>
      <c r="M26" s="117"/>
      <c r="N26" s="9"/>
      <c r="O26" s="8"/>
    </row>
    <row r="27" spans="1:15" s="7" customFormat="1" ht="30" customHeight="1" x14ac:dyDescent="0.45">
      <c r="A27" s="104" t="s">
        <v>86</v>
      </c>
      <c r="B27" s="105">
        <v>88028092958</v>
      </c>
      <c r="C27" s="103">
        <f t="shared" si="1"/>
        <v>2713553442</v>
      </c>
      <c r="D27" s="106">
        <v>44462</v>
      </c>
      <c r="E27" s="181">
        <f t="shared" si="20"/>
        <v>20</v>
      </c>
      <c r="F27" s="181"/>
      <c r="G27" s="107">
        <f t="shared" si="21"/>
        <v>44482</v>
      </c>
      <c r="H27" s="106">
        <v>44637</v>
      </c>
      <c r="I27" s="108">
        <f t="shared" si="4"/>
        <v>26</v>
      </c>
      <c r="J27" s="108">
        <f t="shared" si="22"/>
        <v>155</v>
      </c>
      <c r="K27" s="109">
        <f t="shared" si="23"/>
        <v>41</v>
      </c>
      <c r="L27" s="104"/>
      <c r="M27" s="117"/>
      <c r="N27" s="9"/>
      <c r="O27" s="8"/>
    </row>
    <row r="28" spans="1:15" s="7" customFormat="1" ht="30" customHeight="1" x14ac:dyDescent="0.45">
      <c r="A28" s="104" t="s">
        <v>87</v>
      </c>
      <c r="B28" s="105">
        <v>90150777565</v>
      </c>
      <c r="C28" s="103">
        <f t="shared" si="1"/>
        <v>2122684607</v>
      </c>
      <c r="D28" s="106">
        <v>44497</v>
      </c>
      <c r="E28" s="181">
        <f t="shared" si="20"/>
        <v>23</v>
      </c>
      <c r="F28" s="181"/>
      <c r="G28" s="107">
        <f t="shared" si="21"/>
        <v>44520</v>
      </c>
      <c r="H28" s="106">
        <v>44874</v>
      </c>
      <c r="I28" s="108">
        <f t="shared" si="4"/>
        <v>35</v>
      </c>
      <c r="J28" s="108">
        <f t="shared" si="22"/>
        <v>354</v>
      </c>
      <c r="K28" s="109">
        <f t="shared" si="23"/>
        <v>54</v>
      </c>
      <c r="L28" s="104"/>
      <c r="M28" s="117"/>
      <c r="N28" s="9"/>
      <c r="O28" s="8"/>
    </row>
    <row r="29" spans="1:15" s="7" customFormat="1" ht="30" customHeight="1" x14ac:dyDescent="0.45">
      <c r="A29" s="104" t="s">
        <v>88</v>
      </c>
      <c r="B29" s="105">
        <v>92413661115</v>
      </c>
      <c r="C29" s="103">
        <f t="shared" si="1"/>
        <v>2262883550</v>
      </c>
      <c r="D29" s="106">
        <v>44526</v>
      </c>
      <c r="E29" s="181">
        <f t="shared" si="20"/>
        <v>20</v>
      </c>
      <c r="F29" s="181"/>
      <c r="G29" s="107">
        <f t="shared" si="21"/>
        <v>44546</v>
      </c>
      <c r="H29" s="106">
        <v>44877</v>
      </c>
      <c r="I29" s="108">
        <f t="shared" si="4"/>
        <v>29</v>
      </c>
      <c r="J29" s="108">
        <f t="shared" si="22"/>
        <v>331</v>
      </c>
      <c r="K29" s="109">
        <f t="shared" si="23"/>
        <v>65</v>
      </c>
      <c r="L29" s="104"/>
      <c r="M29" s="117"/>
      <c r="N29" s="9"/>
      <c r="O29" s="8"/>
    </row>
    <row r="30" spans="1:15" s="7" customFormat="1" ht="30" customHeight="1" x14ac:dyDescent="0.45">
      <c r="A30" s="104" t="s">
        <v>89</v>
      </c>
      <c r="B30" s="105">
        <v>94178717132</v>
      </c>
      <c r="C30" s="103">
        <f t="shared" si="1"/>
        <v>1765056017</v>
      </c>
      <c r="D30" s="106">
        <v>44554</v>
      </c>
      <c r="E30" s="181">
        <f t="shared" si="20"/>
        <v>20</v>
      </c>
      <c r="F30" s="181"/>
      <c r="G30" s="107">
        <f t="shared" si="21"/>
        <v>44574</v>
      </c>
      <c r="H30" s="106">
        <v>44877</v>
      </c>
      <c r="I30" s="108">
        <f t="shared" si="4"/>
        <v>28</v>
      </c>
      <c r="J30" s="108">
        <f t="shared" si="22"/>
        <v>303</v>
      </c>
      <c r="K30" s="109">
        <f t="shared" si="23"/>
        <v>48</v>
      </c>
      <c r="L30" s="104"/>
      <c r="M30" s="117"/>
      <c r="N30" s="9"/>
      <c r="O30" s="8"/>
    </row>
    <row r="31" spans="1:15" s="7" customFormat="1" ht="30" customHeight="1" x14ac:dyDescent="0.45">
      <c r="A31" s="104" t="s">
        <v>90</v>
      </c>
      <c r="B31" s="105">
        <v>95616559397</v>
      </c>
      <c r="C31" s="103">
        <f t="shared" si="1"/>
        <v>1437842265</v>
      </c>
      <c r="D31" s="106">
        <v>44585</v>
      </c>
      <c r="E31" s="181">
        <f t="shared" si="20"/>
        <v>21</v>
      </c>
      <c r="F31" s="181"/>
      <c r="G31" s="107">
        <f t="shared" si="21"/>
        <v>44606</v>
      </c>
      <c r="H31" s="106">
        <v>44874</v>
      </c>
      <c r="I31" s="108">
        <f t="shared" si="4"/>
        <v>31</v>
      </c>
      <c r="J31" s="108">
        <f t="shared" si="22"/>
        <v>268</v>
      </c>
      <c r="K31" s="109">
        <f t="shared" si="23"/>
        <v>31</v>
      </c>
      <c r="L31" s="104"/>
      <c r="M31" s="117"/>
      <c r="N31" s="9"/>
      <c r="O31" s="8"/>
    </row>
    <row r="32" spans="1:15" s="7" customFormat="1" ht="30" customHeight="1" x14ac:dyDescent="0.45">
      <c r="A32" s="104" t="s">
        <v>91</v>
      </c>
      <c r="B32" s="105">
        <v>98474002210</v>
      </c>
      <c r="C32" s="103">
        <f t="shared" si="1"/>
        <v>2857442813</v>
      </c>
      <c r="D32" s="106">
        <v>44614</v>
      </c>
      <c r="E32" s="181">
        <f t="shared" si="20"/>
        <v>20</v>
      </c>
      <c r="F32" s="181"/>
      <c r="G32" s="107">
        <f t="shared" si="21"/>
        <v>44634</v>
      </c>
      <c r="H32" s="106">
        <v>44874</v>
      </c>
      <c r="I32" s="108">
        <f t="shared" si="4"/>
        <v>29</v>
      </c>
      <c r="J32" s="108">
        <f t="shared" si="22"/>
        <v>240</v>
      </c>
      <c r="K32" s="109">
        <f t="shared" si="23"/>
        <v>59</v>
      </c>
      <c r="L32" s="104"/>
      <c r="M32" s="117"/>
      <c r="N32" s="9"/>
      <c r="O32" s="8"/>
    </row>
    <row r="33" spans="1:15" s="7" customFormat="1" ht="30" customHeight="1" x14ac:dyDescent="0.45">
      <c r="A33" s="104" t="s">
        <v>92</v>
      </c>
      <c r="B33" s="105">
        <v>100945772685</v>
      </c>
      <c r="C33" s="103">
        <f t="shared" si="1"/>
        <v>2471770475</v>
      </c>
      <c r="D33" s="106">
        <v>44639</v>
      </c>
      <c r="E33" s="181">
        <f t="shared" si="20"/>
        <v>20</v>
      </c>
      <c r="F33" s="181"/>
      <c r="G33" s="107">
        <f t="shared" si="21"/>
        <v>44659</v>
      </c>
      <c r="H33" s="106">
        <v>44877</v>
      </c>
      <c r="I33" s="108">
        <f t="shared" si="4"/>
        <v>25</v>
      </c>
      <c r="J33" s="108">
        <f t="shared" si="22"/>
        <v>218</v>
      </c>
      <c r="K33" s="109">
        <f t="shared" si="23"/>
        <v>54</v>
      </c>
      <c r="L33" s="104"/>
      <c r="M33" s="117"/>
      <c r="N33" s="9"/>
      <c r="O33" s="8"/>
    </row>
    <row r="34" spans="1:15" s="7" customFormat="1" ht="30" customHeight="1" x14ac:dyDescent="0.45">
      <c r="A34" s="104" t="s">
        <v>93</v>
      </c>
      <c r="B34" s="105">
        <v>102807396553</v>
      </c>
      <c r="C34" s="103">
        <f t="shared" si="1"/>
        <v>1861623868</v>
      </c>
      <c r="D34" s="106">
        <v>44677</v>
      </c>
      <c r="E34" s="181">
        <f t="shared" si="20"/>
        <v>25</v>
      </c>
      <c r="F34" s="181"/>
      <c r="G34" s="107">
        <f t="shared" si="21"/>
        <v>44702</v>
      </c>
      <c r="H34" s="106">
        <v>44877</v>
      </c>
      <c r="I34" s="108">
        <f t="shared" si="4"/>
        <v>38</v>
      </c>
      <c r="J34" s="108">
        <f t="shared" si="22"/>
        <v>175</v>
      </c>
      <c r="K34" s="109">
        <f t="shared" si="23"/>
        <v>21</v>
      </c>
      <c r="L34" s="104"/>
      <c r="M34" s="117"/>
      <c r="N34" s="9"/>
      <c r="O34" s="8"/>
    </row>
    <row r="35" spans="1:15" s="7" customFormat="1" ht="30" customHeight="1" x14ac:dyDescent="0.45">
      <c r="A35" s="104" t="s">
        <v>94</v>
      </c>
      <c r="B35" s="105">
        <v>105562848531</v>
      </c>
      <c r="C35" s="103">
        <f t="shared" si="1"/>
        <v>2755451978</v>
      </c>
      <c r="D35" s="106">
        <v>44706</v>
      </c>
      <c r="E35" s="181">
        <f t="shared" si="20"/>
        <v>20</v>
      </c>
      <c r="F35" s="181"/>
      <c r="G35" s="107">
        <f t="shared" si="21"/>
        <v>44726</v>
      </c>
      <c r="H35" s="106">
        <v>44879</v>
      </c>
      <c r="I35" s="108">
        <f t="shared" si="4"/>
        <v>29</v>
      </c>
      <c r="J35" s="108">
        <f t="shared" si="22"/>
        <v>153</v>
      </c>
      <c r="K35" s="109">
        <f t="shared" si="23"/>
        <v>36</v>
      </c>
      <c r="L35" s="104"/>
      <c r="M35" s="117"/>
      <c r="N35" s="9"/>
      <c r="O35" s="8"/>
    </row>
    <row r="36" spans="1:15" s="7" customFormat="1" ht="35.25" customHeight="1" x14ac:dyDescent="0.45">
      <c r="A36" s="104" t="s">
        <v>95</v>
      </c>
      <c r="B36" s="105">
        <v>106531890804</v>
      </c>
      <c r="C36" s="103">
        <f t="shared" si="1"/>
        <v>969042273</v>
      </c>
      <c r="D36" s="106">
        <v>44735</v>
      </c>
      <c r="E36" s="181">
        <f t="shared" si="20"/>
        <v>20</v>
      </c>
      <c r="F36" s="181"/>
      <c r="G36" s="107">
        <f t="shared" si="21"/>
        <v>44755</v>
      </c>
      <c r="H36" s="106">
        <v>44879</v>
      </c>
      <c r="I36" s="108">
        <f t="shared" si="4"/>
        <v>29</v>
      </c>
      <c r="J36" s="108">
        <f t="shared" si="22"/>
        <v>124</v>
      </c>
      <c r="K36" s="109">
        <f t="shared" si="23"/>
        <v>10</v>
      </c>
      <c r="L36" s="104"/>
      <c r="M36" s="117"/>
      <c r="N36" s="9"/>
      <c r="O36" s="8"/>
    </row>
    <row r="37" spans="1:15" ht="35.25" customHeight="1" x14ac:dyDescent="0.25">
      <c r="A37" s="104" t="s">
        <v>124</v>
      </c>
      <c r="B37" s="105">
        <v>110367922825</v>
      </c>
      <c r="C37" s="103">
        <f t="shared" si="1"/>
        <v>3836032021</v>
      </c>
      <c r="D37" s="106">
        <v>44769</v>
      </c>
      <c r="E37" s="181">
        <f t="shared" ref="E37:E43" si="24">IF(I37&lt;=30,20,ROUND(I37*2/3,0))</f>
        <v>23</v>
      </c>
      <c r="F37" s="181"/>
      <c r="G37" s="107">
        <f t="shared" ref="G37:G43" si="25">D37+E37</f>
        <v>44792</v>
      </c>
      <c r="H37" s="106">
        <v>44879</v>
      </c>
      <c r="I37" s="108">
        <f t="shared" ref="I37:I43" si="26">D37-D36</f>
        <v>34</v>
      </c>
      <c r="J37" s="108">
        <f t="shared" ref="J37:J43" si="27">IF((H37-G37)&lt;=0,0,(H37-G37))</f>
        <v>87</v>
      </c>
      <c r="K37" s="109">
        <f t="shared" ref="K37:K43" si="28">ROUND(((C37/I37)*($J$4/$J$5)*J37*0.697),0)</f>
        <v>25</v>
      </c>
      <c r="L37" s="104"/>
    </row>
    <row r="38" spans="1:15" ht="35.25" customHeight="1" x14ac:dyDescent="0.25">
      <c r="A38" s="104" t="s">
        <v>125</v>
      </c>
      <c r="B38" s="105">
        <v>111402633211</v>
      </c>
      <c r="C38" s="103">
        <f t="shared" si="1"/>
        <v>1034710386</v>
      </c>
      <c r="D38" s="106">
        <v>44800</v>
      </c>
      <c r="E38" s="181">
        <f t="shared" si="24"/>
        <v>21</v>
      </c>
      <c r="F38" s="181"/>
      <c r="G38" s="107">
        <f t="shared" si="25"/>
        <v>44821</v>
      </c>
      <c r="H38" s="106">
        <v>44879</v>
      </c>
      <c r="I38" s="108">
        <f t="shared" si="26"/>
        <v>31</v>
      </c>
      <c r="J38" s="108">
        <f t="shared" si="27"/>
        <v>58</v>
      </c>
      <c r="K38" s="109">
        <f t="shared" si="28"/>
        <v>5</v>
      </c>
      <c r="L38" s="104"/>
    </row>
    <row r="39" spans="1:15" ht="35.25" customHeight="1" x14ac:dyDescent="0.25">
      <c r="A39" s="104" t="s">
        <v>126</v>
      </c>
      <c r="B39" s="105">
        <v>111808790116</v>
      </c>
      <c r="C39" s="103">
        <f t="shared" si="1"/>
        <v>406156905</v>
      </c>
      <c r="D39" s="106">
        <v>44837</v>
      </c>
      <c r="E39" s="181">
        <f t="shared" si="24"/>
        <v>25</v>
      </c>
      <c r="F39" s="181"/>
      <c r="G39" s="107">
        <f t="shared" si="25"/>
        <v>44862</v>
      </c>
      <c r="H39" s="106">
        <v>45024</v>
      </c>
      <c r="I39" s="108">
        <f t="shared" si="26"/>
        <v>37</v>
      </c>
      <c r="J39" s="108">
        <f t="shared" si="27"/>
        <v>162</v>
      </c>
      <c r="K39" s="109">
        <f t="shared" si="28"/>
        <v>4</v>
      </c>
      <c r="L39" s="104"/>
    </row>
    <row r="40" spans="1:15" ht="35.25" customHeight="1" x14ac:dyDescent="0.25">
      <c r="A40" s="104" t="s">
        <v>127</v>
      </c>
      <c r="B40" s="105">
        <v>111827834852</v>
      </c>
      <c r="C40" s="103">
        <f t="shared" si="1"/>
        <v>19044736</v>
      </c>
      <c r="D40" s="106">
        <v>44872</v>
      </c>
      <c r="E40" s="181">
        <f t="shared" si="24"/>
        <v>23</v>
      </c>
      <c r="F40" s="181"/>
      <c r="G40" s="107">
        <f t="shared" si="25"/>
        <v>44895</v>
      </c>
      <c r="H40" s="106">
        <v>45024</v>
      </c>
      <c r="I40" s="108">
        <f t="shared" si="26"/>
        <v>35</v>
      </c>
      <c r="J40" s="108">
        <f t="shared" si="27"/>
        <v>129</v>
      </c>
      <c r="K40" s="109">
        <f t="shared" si="28"/>
        <v>0</v>
      </c>
      <c r="L40" s="104"/>
    </row>
    <row r="41" spans="1:15" ht="35.25" customHeight="1" x14ac:dyDescent="0.25">
      <c r="A41" s="104" t="s">
        <v>128</v>
      </c>
      <c r="B41" s="105">
        <v>112107342749</v>
      </c>
      <c r="C41" s="103">
        <f t="shared" si="1"/>
        <v>279507897</v>
      </c>
      <c r="D41" s="106">
        <v>44903</v>
      </c>
      <c r="E41" s="181">
        <f t="shared" si="24"/>
        <v>21</v>
      </c>
      <c r="F41" s="181"/>
      <c r="G41" s="107">
        <f t="shared" si="25"/>
        <v>44924</v>
      </c>
      <c r="H41" s="106">
        <v>45024</v>
      </c>
      <c r="I41" s="108">
        <f t="shared" si="26"/>
        <v>31</v>
      </c>
      <c r="J41" s="108">
        <f t="shared" si="27"/>
        <v>100</v>
      </c>
      <c r="K41" s="109">
        <f t="shared" si="28"/>
        <v>2</v>
      </c>
      <c r="L41" s="104"/>
    </row>
    <row r="42" spans="1:15" ht="35.25" customHeight="1" x14ac:dyDescent="0.25">
      <c r="A42" s="104" t="s">
        <v>129</v>
      </c>
      <c r="B42" s="105">
        <v>113657503974</v>
      </c>
      <c r="C42" s="103">
        <f t="shared" si="1"/>
        <v>1550161225</v>
      </c>
      <c r="D42" s="106">
        <v>44929</v>
      </c>
      <c r="E42" s="181">
        <f t="shared" si="24"/>
        <v>20</v>
      </c>
      <c r="F42" s="181"/>
      <c r="G42" s="107">
        <f t="shared" si="25"/>
        <v>44949</v>
      </c>
      <c r="H42" s="106">
        <v>45024</v>
      </c>
      <c r="I42" s="108">
        <f t="shared" si="26"/>
        <v>26</v>
      </c>
      <c r="J42" s="108">
        <f t="shared" si="27"/>
        <v>75</v>
      </c>
      <c r="K42" s="109">
        <f t="shared" si="28"/>
        <v>11</v>
      </c>
      <c r="L42" s="104"/>
    </row>
    <row r="43" spans="1:15" ht="35.25" customHeight="1" x14ac:dyDescent="0.25">
      <c r="A43" s="104" t="s">
        <v>130</v>
      </c>
      <c r="B43" s="105">
        <v>114582287450</v>
      </c>
      <c r="C43" s="103">
        <f t="shared" si="1"/>
        <v>924783476</v>
      </c>
      <c r="D43" s="106">
        <v>44952</v>
      </c>
      <c r="E43" s="181">
        <f t="shared" si="24"/>
        <v>20</v>
      </c>
      <c r="F43" s="181"/>
      <c r="G43" s="107">
        <f t="shared" si="25"/>
        <v>44972</v>
      </c>
      <c r="H43" s="106">
        <v>45024</v>
      </c>
      <c r="I43" s="108">
        <f t="shared" si="26"/>
        <v>23</v>
      </c>
      <c r="J43" s="108">
        <f t="shared" si="27"/>
        <v>52</v>
      </c>
      <c r="K43" s="109">
        <f t="shared" si="28"/>
        <v>5</v>
      </c>
      <c r="L43" s="104"/>
    </row>
  </sheetData>
  <mergeCells count="46">
    <mergeCell ref="E21:F21"/>
    <mergeCell ref="E22:F22"/>
    <mergeCell ref="E23:F23"/>
    <mergeCell ref="E24:F24"/>
    <mergeCell ref="E25:F25"/>
    <mergeCell ref="A1:L2"/>
    <mergeCell ref="B3:C3"/>
    <mergeCell ref="B4:C4"/>
    <mergeCell ref="J5:K5"/>
    <mergeCell ref="L9:L10"/>
    <mergeCell ref="E8:F8"/>
    <mergeCell ref="E10:F10"/>
    <mergeCell ref="E9:F9"/>
    <mergeCell ref="A9:A10"/>
    <mergeCell ref="D9:D10"/>
    <mergeCell ref="B9:B10"/>
    <mergeCell ref="E19:F19"/>
    <mergeCell ref="E20:F20"/>
    <mergeCell ref="J4:K4"/>
    <mergeCell ref="B6:G6"/>
    <mergeCell ref="E11:F11"/>
    <mergeCell ref="E12:F12"/>
    <mergeCell ref="E13:F13"/>
    <mergeCell ref="E14:F14"/>
    <mergeCell ref="E17:F17"/>
    <mergeCell ref="E18:F18"/>
    <mergeCell ref="E15:F15"/>
    <mergeCell ref="E16:F16"/>
    <mergeCell ref="E26:F26"/>
    <mergeCell ref="E27:F27"/>
    <mergeCell ref="E28:F28"/>
    <mergeCell ref="E29:F29"/>
    <mergeCell ref="E30:F30"/>
    <mergeCell ref="E36:F36"/>
    <mergeCell ref="E31:F31"/>
    <mergeCell ref="E32:F32"/>
    <mergeCell ref="E33:F33"/>
    <mergeCell ref="E34:F34"/>
    <mergeCell ref="E35:F35"/>
    <mergeCell ref="E42:F42"/>
    <mergeCell ref="E43:F43"/>
    <mergeCell ref="E37:F37"/>
    <mergeCell ref="E38:F38"/>
    <mergeCell ref="E39:F39"/>
    <mergeCell ref="E40:F40"/>
    <mergeCell ref="E41:F41"/>
  </mergeCells>
  <printOptions horizontalCentered="1" verticalCentered="1"/>
  <pageMargins left="0.25" right="0.25" top="0.38" bottom="0.38" header="0.13" footer="0.17"/>
  <pageSetup paperSize="9" scale="8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O40"/>
  <sheetViews>
    <sheetView rightToLeft="1" topLeftCell="A31" workbookViewId="0">
      <selection activeCell="C13" sqref="C13"/>
    </sheetView>
  </sheetViews>
  <sheetFormatPr defaultRowHeight="15" x14ac:dyDescent="0.25"/>
  <cols>
    <col min="1" max="1" width="17.42578125" customWidth="1"/>
    <col min="2" max="3" width="16.42578125" customWidth="1"/>
    <col min="4" max="4" width="17.85546875" customWidth="1"/>
    <col min="5" max="5" width="4.140625" customWidth="1"/>
    <col min="6" max="6" width="4.85546875" customWidth="1"/>
    <col min="7" max="8" width="16.85546875" customWidth="1"/>
    <col min="9" max="9" width="13.5703125" bestFit="1" customWidth="1"/>
    <col min="10" max="10" width="8.42578125" customWidth="1"/>
    <col min="11" max="11" width="12.7109375" bestFit="1" customWidth="1"/>
    <col min="12" max="12" width="10.42578125" customWidth="1"/>
    <col min="13" max="13" width="26.42578125" customWidth="1"/>
    <col min="14" max="14" width="15" customWidth="1"/>
  </cols>
  <sheetData>
    <row r="1" spans="1:15" ht="15.75" thickBot="1" x14ac:dyDescent="0.3"/>
    <row r="2" spans="1:15" x14ac:dyDescent="0.25">
      <c r="A2" s="136" t="s">
        <v>63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8"/>
    </row>
    <row r="3" spans="1:15" ht="15.75" thickBot="1" x14ac:dyDescent="0.3">
      <c r="A3" s="139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1"/>
    </row>
    <row r="4" spans="1:15" ht="26.45" customHeight="1" x14ac:dyDescent="0.25">
      <c r="A4" s="12" t="s">
        <v>33</v>
      </c>
      <c r="B4" s="194" t="str">
        <f>شناسنامه!C5</f>
        <v>کارفرما</v>
      </c>
      <c r="C4" s="194"/>
      <c r="D4" s="13"/>
      <c r="E4" s="13"/>
      <c r="F4" s="13"/>
      <c r="G4" s="14"/>
      <c r="H4" s="22"/>
      <c r="I4" s="13"/>
      <c r="J4" s="14"/>
      <c r="K4" s="14"/>
      <c r="L4" s="18"/>
    </row>
    <row r="5" spans="1:15" ht="27" customHeight="1" x14ac:dyDescent="0.25">
      <c r="A5" s="15" t="s">
        <v>34</v>
      </c>
      <c r="B5" s="195" t="str">
        <f>شناسنامه!C6</f>
        <v>مشاور</v>
      </c>
      <c r="C5" s="195"/>
      <c r="D5" s="3"/>
      <c r="E5" s="3"/>
      <c r="F5" s="3"/>
      <c r="G5" s="16"/>
      <c r="H5" s="23" t="s">
        <v>27</v>
      </c>
      <c r="I5" s="92" t="s">
        <v>38</v>
      </c>
      <c r="J5" s="202">
        <f>شناسنامه!F6</f>
        <v>730</v>
      </c>
      <c r="K5" s="202"/>
      <c r="L5" s="96" t="s">
        <v>41</v>
      </c>
    </row>
    <row r="6" spans="1:15" ht="23.45" customHeight="1" x14ac:dyDescent="0.25">
      <c r="A6" s="15" t="s">
        <v>35</v>
      </c>
      <c r="B6" s="17" t="str">
        <f>شناسنامه!C7</f>
        <v>پیمانکار</v>
      </c>
      <c r="C6" s="17"/>
      <c r="D6" s="3"/>
      <c r="E6" s="3"/>
      <c r="F6" s="3"/>
      <c r="G6" s="16"/>
      <c r="H6" s="23" t="s">
        <v>40</v>
      </c>
      <c r="I6" s="92" t="s">
        <v>39</v>
      </c>
      <c r="J6" s="203">
        <f>شناسنامه!F7</f>
        <v>203000000000</v>
      </c>
      <c r="K6" s="203"/>
      <c r="L6" s="96" t="s">
        <v>42</v>
      </c>
    </row>
    <row r="7" spans="1:15" ht="23.45" customHeight="1" x14ac:dyDescent="0.25">
      <c r="A7" s="15" t="s">
        <v>36</v>
      </c>
      <c r="B7" s="195" t="str">
        <f>شناسنامه!C8</f>
        <v>پروژه</v>
      </c>
      <c r="C7" s="195"/>
      <c r="D7" s="195"/>
      <c r="E7" s="195"/>
      <c r="F7" s="195"/>
      <c r="G7" s="195"/>
      <c r="H7" s="24"/>
      <c r="I7" s="17"/>
      <c r="J7" s="17"/>
      <c r="K7" s="17"/>
      <c r="L7" s="19"/>
    </row>
    <row r="8" spans="1:15" ht="23.45" customHeight="1" thickBot="1" x14ac:dyDescent="0.3">
      <c r="A8" s="20" t="s">
        <v>37</v>
      </c>
      <c r="B8" s="74">
        <f>شناسنامه!C9</f>
        <v>43883</v>
      </c>
      <c r="C8" s="21"/>
      <c r="D8" s="21"/>
      <c r="E8" s="21"/>
      <c r="F8" s="21"/>
      <c r="G8" s="21"/>
      <c r="H8" s="97"/>
      <c r="I8" s="98"/>
      <c r="J8" s="99"/>
      <c r="K8" s="99"/>
      <c r="L8" s="100"/>
    </row>
    <row r="9" spans="1:15" ht="22.5" customHeight="1" thickTop="1" x14ac:dyDescent="0.3">
      <c r="A9" s="25" t="s">
        <v>32</v>
      </c>
      <c r="B9" s="91" t="s">
        <v>13</v>
      </c>
      <c r="C9" s="91" t="s">
        <v>14</v>
      </c>
      <c r="D9" s="91" t="s">
        <v>15</v>
      </c>
      <c r="E9" s="175" t="s">
        <v>16</v>
      </c>
      <c r="F9" s="176"/>
      <c r="G9" s="91" t="s">
        <v>17</v>
      </c>
      <c r="H9" s="94" t="s">
        <v>18</v>
      </c>
      <c r="I9" s="94" t="s">
        <v>19</v>
      </c>
      <c r="J9" s="94" t="s">
        <v>21</v>
      </c>
      <c r="K9" s="94" t="s">
        <v>22</v>
      </c>
      <c r="L9" s="95" t="s">
        <v>28</v>
      </c>
    </row>
    <row r="10" spans="1:15" ht="85.5" customHeight="1" x14ac:dyDescent="0.25">
      <c r="A10" s="196" t="s">
        <v>0</v>
      </c>
      <c r="B10" s="198" t="s">
        <v>10</v>
      </c>
      <c r="C10" s="93" t="s">
        <v>1</v>
      </c>
      <c r="D10" s="198" t="s">
        <v>23</v>
      </c>
      <c r="E10" s="200" t="s">
        <v>11</v>
      </c>
      <c r="F10" s="201"/>
      <c r="G10" s="93" t="s">
        <v>2</v>
      </c>
      <c r="H10" s="93" t="s">
        <v>3</v>
      </c>
      <c r="I10" s="93" t="s">
        <v>12</v>
      </c>
      <c r="J10" s="93" t="s">
        <v>5</v>
      </c>
      <c r="K10" s="93" t="s">
        <v>6</v>
      </c>
      <c r="L10" s="192" t="s">
        <v>4</v>
      </c>
      <c r="M10" s="1"/>
      <c r="N10" s="2"/>
      <c r="O10" s="3"/>
    </row>
    <row r="11" spans="1:15" ht="41.25" customHeight="1" x14ac:dyDescent="0.25">
      <c r="A11" s="197"/>
      <c r="B11" s="199"/>
      <c r="C11" s="4" t="s">
        <v>30</v>
      </c>
      <c r="D11" s="199"/>
      <c r="E11" s="185" t="s">
        <v>31</v>
      </c>
      <c r="F11" s="186"/>
      <c r="G11" s="6" t="s">
        <v>24</v>
      </c>
      <c r="H11" s="5" t="s">
        <v>29</v>
      </c>
      <c r="I11" s="5" t="s">
        <v>25</v>
      </c>
      <c r="J11" s="6" t="s">
        <v>26</v>
      </c>
      <c r="K11" s="6" t="s">
        <v>27</v>
      </c>
      <c r="L11" s="193"/>
      <c r="M11" s="1"/>
      <c r="N11" s="2"/>
      <c r="O11" s="3"/>
    </row>
    <row r="12" spans="1:15" s="7" customFormat="1" ht="19.5" customHeight="1" x14ac:dyDescent="0.45">
      <c r="A12" s="83" t="s">
        <v>64</v>
      </c>
      <c r="B12" s="85">
        <v>2817937890</v>
      </c>
      <c r="C12" s="10">
        <f>B12</f>
        <v>2817937890</v>
      </c>
      <c r="D12" s="84">
        <v>44024</v>
      </c>
      <c r="E12" s="191">
        <f>IF(I12&lt;=30,20,ROUND(I12*2/3,0))</f>
        <v>94</v>
      </c>
      <c r="F12" s="191"/>
      <c r="G12" s="40">
        <f>D12+E12</f>
        <v>44118</v>
      </c>
      <c r="H12" s="84">
        <v>44107</v>
      </c>
      <c r="I12" s="118">
        <f>D12-B8</f>
        <v>141</v>
      </c>
      <c r="J12" s="118">
        <f>IF((H12-G12)&lt;=0,0,+ROUND(H12-G12,0))</f>
        <v>0</v>
      </c>
      <c r="K12" s="119">
        <f>ROUND(((C12/I12)*($J$5/$J$6)*J12*0.697),0)</f>
        <v>0</v>
      </c>
      <c r="L12" s="83"/>
      <c r="M12" s="11"/>
      <c r="N12" s="9"/>
      <c r="O12" s="8"/>
    </row>
    <row r="13" spans="1:15" s="7" customFormat="1" ht="19.5" customHeight="1" x14ac:dyDescent="0.45">
      <c r="A13" s="83" t="s">
        <v>65</v>
      </c>
      <c r="B13" s="85">
        <v>9803511088</v>
      </c>
      <c r="C13" s="10">
        <f>B13-B12</f>
        <v>6985573198</v>
      </c>
      <c r="D13" s="84">
        <v>44058</v>
      </c>
      <c r="E13" s="191">
        <f>IF(I13&lt;=30,20,ROUND(I13*2/3,0))</f>
        <v>23</v>
      </c>
      <c r="F13" s="191"/>
      <c r="G13" s="40">
        <f t="shared" ref="G13" si="0">D13+E13</f>
        <v>44081</v>
      </c>
      <c r="H13" s="84">
        <v>44205</v>
      </c>
      <c r="I13" s="118">
        <f>D13-D12</f>
        <v>34</v>
      </c>
      <c r="J13" s="118">
        <f>IF((H13-G13)&lt;=0,0,+ROUND(H13-G13,0))</f>
        <v>124</v>
      </c>
      <c r="K13" s="119">
        <f>ROUND(((C13/I13)*($J$5/$J$6)*J13*0.697),0)</f>
        <v>64</v>
      </c>
      <c r="L13" s="83"/>
      <c r="M13" s="8"/>
      <c r="N13" s="9"/>
      <c r="O13" s="8"/>
    </row>
    <row r="14" spans="1:15" ht="18.75" x14ac:dyDescent="0.45">
      <c r="A14" s="83" t="s">
        <v>96</v>
      </c>
      <c r="B14" s="85">
        <v>15247374882</v>
      </c>
      <c r="C14" s="10">
        <f t="shared" ref="C14:C33" si="1">B14-B13</f>
        <v>5443863794</v>
      </c>
      <c r="D14" s="84">
        <v>44079</v>
      </c>
      <c r="E14" s="191">
        <f t="shared" ref="E14:E33" si="2">IF(I14&lt;=30,20,ROUND(I14*2/3,0))</f>
        <v>20</v>
      </c>
      <c r="F14" s="191"/>
      <c r="G14" s="40">
        <f t="shared" ref="G14:G33" si="3">D14+E14</f>
        <v>44099</v>
      </c>
      <c r="H14" s="84">
        <v>44205</v>
      </c>
      <c r="I14" s="118">
        <f t="shared" ref="I14:I33" si="4">D14-D13</f>
        <v>21</v>
      </c>
      <c r="J14" s="118">
        <f t="shared" ref="J14:J33" si="5">IF((H14-G14)&lt;=0,0,+ROUND(H14-G14,0))</f>
        <v>106</v>
      </c>
      <c r="K14" s="119">
        <f t="shared" ref="K14:K33" si="6">ROUND(((C14/I14)*($J$5/$J$6)*J14*0.697),0)</f>
        <v>69</v>
      </c>
      <c r="L14" s="83"/>
    </row>
    <row r="15" spans="1:15" ht="18.75" x14ac:dyDescent="0.45">
      <c r="A15" s="83" t="s">
        <v>97</v>
      </c>
      <c r="B15" s="85">
        <v>16709759913</v>
      </c>
      <c r="C15" s="10">
        <f t="shared" si="1"/>
        <v>1462385031</v>
      </c>
      <c r="D15" s="84">
        <v>44101</v>
      </c>
      <c r="E15" s="191">
        <f t="shared" si="2"/>
        <v>20</v>
      </c>
      <c r="F15" s="191"/>
      <c r="G15" s="40">
        <f t="shared" si="3"/>
        <v>44121</v>
      </c>
      <c r="H15" s="84">
        <v>44205</v>
      </c>
      <c r="I15" s="118">
        <f t="shared" si="4"/>
        <v>22</v>
      </c>
      <c r="J15" s="118">
        <f t="shared" si="5"/>
        <v>84</v>
      </c>
      <c r="K15" s="119">
        <f t="shared" si="6"/>
        <v>14</v>
      </c>
      <c r="L15" s="83"/>
    </row>
    <row r="16" spans="1:15" ht="18.75" x14ac:dyDescent="0.45">
      <c r="A16" s="83" t="s">
        <v>98</v>
      </c>
      <c r="B16" s="85">
        <v>25448407285</v>
      </c>
      <c r="C16" s="10">
        <f t="shared" si="1"/>
        <v>8738647372</v>
      </c>
      <c r="D16" s="84">
        <v>44165</v>
      </c>
      <c r="E16" s="191">
        <f t="shared" si="2"/>
        <v>43</v>
      </c>
      <c r="F16" s="191"/>
      <c r="G16" s="40">
        <f t="shared" si="3"/>
        <v>44208</v>
      </c>
      <c r="H16" s="84">
        <v>44249</v>
      </c>
      <c r="I16" s="118">
        <f t="shared" si="4"/>
        <v>64</v>
      </c>
      <c r="J16" s="118">
        <f t="shared" si="5"/>
        <v>41</v>
      </c>
      <c r="K16" s="119">
        <f t="shared" si="6"/>
        <v>14</v>
      </c>
      <c r="L16" s="83"/>
    </row>
    <row r="17" spans="1:12" ht="18.75" x14ac:dyDescent="0.45">
      <c r="A17" s="83" t="s">
        <v>99</v>
      </c>
      <c r="B17" s="85">
        <v>27006266417</v>
      </c>
      <c r="C17" s="10">
        <f t="shared" si="1"/>
        <v>1557859132</v>
      </c>
      <c r="D17" s="84">
        <v>44195</v>
      </c>
      <c r="E17" s="191">
        <f t="shared" si="2"/>
        <v>20</v>
      </c>
      <c r="F17" s="191"/>
      <c r="G17" s="40">
        <f t="shared" si="3"/>
        <v>44215</v>
      </c>
      <c r="H17" s="84">
        <v>44362</v>
      </c>
      <c r="I17" s="118">
        <f t="shared" si="4"/>
        <v>30</v>
      </c>
      <c r="J17" s="118">
        <f t="shared" si="5"/>
        <v>147</v>
      </c>
      <c r="K17" s="119">
        <f t="shared" si="6"/>
        <v>19</v>
      </c>
      <c r="L17" s="83"/>
    </row>
    <row r="18" spans="1:12" ht="18.75" x14ac:dyDescent="0.45">
      <c r="A18" s="83" t="s">
        <v>100</v>
      </c>
      <c r="B18" s="85">
        <v>36408310433</v>
      </c>
      <c r="C18" s="10">
        <f t="shared" si="1"/>
        <v>9402044016</v>
      </c>
      <c r="D18" s="84">
        <v>44235</v>
      </c>
      <c r="E18" s="191">
        <f t="shared" si="2"/>
        <v>27</v>
      </c>
      <c r="F18" s="191"/>
      <c r="G18" s="40">
        <f t="shared" si="3"/>
        <v>44262</v>
      </c>
      <c r="H18" s="84">
        <v>44478</v>
      </c>
      <c r="I18" s="118">
        <f t="shared" si="4"/>
        <v>40</v>
      </c>
      <c r="J18" s="118">
        <f t="shared" si="5"/>
        <v>216</v>
      </c>
      <c r="K18" s="119">
        <f t="shared" si="6"/>
        <v>127</v>
      </c>
      <c r="L18" s="83"/>
    </row>
    <row r="19" spans="1:12" ht="18.75" x14ac:dyDescent="0.45">
      <c r="A19" s="83" t="s">
        <v>101</v>
      </c>
      <c r="B19" s="85">
        <v>40792384561</v>
      </c>
      <c r="C19" s="10">
        <f t="shared" si="1"/>
        <v>4384074128</v>
      </c>
      <c r="D19" s="84">
        <v>44251</v>
      </c>
      <c r="E19" s="191">
        <f t="shared" si="2"/>
        <v>20</v>
      </c>
      <c r="F19" s="191"/>
      <c r="G19" s="40">
        <f t="shared" si="3"/>
        <v>44271</v>
      </c>
      <c r="H19" s="84">
        <v>44384</v>
      </c>
      <c r="I19" s="118">
        <f t="shared" si="4"/>
        <v>16</v>
      </c>
      <c r="J19" s="118">
        <f t="shared" si="5"/>
        <v>113</v>
      </c>
      <c r="K19" s="119">
        <f t="shared" si="6"/>
        <v>78</v>
      </c>
      <c r="L19" s="83"/>
    </row>
    <row r="20" spans="1:12" ht="37.5" x14ac:dyDescent="0.45">
      <c r="A20" s="83" t="s">
        <v>102</v>
      </c>
      <c r="B20" s="85">
        <v>42713371410</v>
      </c>
      <c r="C20" s="10">
        <f t="shared" si="1"/>
        <v>1920986849</v>
      </c>
      <c r="D20" s="84">
        <v>44292</v>
      </c>
      <c r="E20" s="191">
        <f t="shared" si="2"/>
        <v>27</v>
      </c>
      <c r="F20" s="191"/>
      <c r="G20" s="40">
        <f t="shared" si="3"/>
        <v>44319</v>
      </c>
      <c r="H20" s="84">
        <v>44478</v>
      </c>
      <c r="I20" s="118">
        <f t="shared" si="4"/>
        <v>41</v>
      </c>
      <c r="J20" s="118">
        <f t="shared" si="5"/>
        <v>159</v>
      </c>
      <c r="K20" s="119">
        <f t="shared" si="6"/>
        <v>19</v>
      </c>
      <c r="L20" s="83"/>
    </row>
    <row r="21" spans="1:12" ht="37.5" x14ac:dyDescent="0.45">
      <c r="A21" s="83" t="s">
        <v>103</v>
      </c>
      <c r="B21" s="85">
        <v>45595860881</v>
      </c>
      <c r="C21" s="10">
        <f t="shared" si="1"/>
        <v>2882489471</v>
      </c>
      <c r="D21" s="84">
        <v>44331</v>
      </c>
      <c r="E21" s="191">
        <f t="shared" si="2"/>
        <v>26</v>
      </c>
      <c r="F21" s="191"/>
      <c r="G21" s="40">
        <f t="shared" si="3"/>
        <v>44357</v>
      </c>
      <c r="H21" s="84">
        <v>44576</v>
      </c>
      <c r="I21" s="118">
        <f t="shared" si="4"/>
        <v>39</v>
      </c>
      <c r="J21" s="118">
        <f t="shared" si="5"/>
        <v>219</v>
      </c>
      <c r="K21" s="119">
        <f t="shared" si="6"/>
        <v>41</v>
      </c>
      <c r="L21" s="83"/>
    </row>
    <row r="22" spans="1:12" ht="18.75" x14ac:dyDescent="0.45">
      <c r="A22" s="83" t="s">
        <v>104</v>
      </c>
      <c r="B22" s="85">
        <v>58671634556</v>
      </c>
      <c r="C22" s="10">
        <f t="shared" si="1"/>
        <v>13075773675</v>
      </c>
      <c r="D22" s="84">
        <v>44375</v>
      </c>
      <c r="E22" s="191">
        <f t="shared" si="2"/>
        <v>29</v>
      </c>
      <c r="F22" s="191"/>
      <c r="G22" s="40">
        <f t="shared" si="3"/>
        <v>44404</v>
      </c>
      <c r="H22" s="84">
        <v>44637</v>
      </c>
      <c r="I22" s="118">
        <f t="shared" si="4"/>
        <v>44</v>
      </c>
      <c r="J22" s="118">
        <f t="shared" si="5"/>
        <v>233</v>
      </c>
      <c r="K22" s="119">
        <f t="shared" si="6"/>
        <v>174</v>
      </c>
      <c r="L22" s="83"/>
    </row>
    <row r="23" spans="1:12" ht="18.75" x14ac:dyDescent="0.45">
      <c r="A23" s="83" t="s">
        <v>105</v>
      </c>
      <c r="B23" s="85">
        <v>64258561642</v>
      </c>
      <c r="C23" s="10">
        <f t="shared" si="1"/>
        <v>5586927086</v>
      </c>
      <c r="D23" s="84">
        <v>44409</v>
      </c>
      <c r="E23" s="191">
        <f t="shared" si="2"/>
        <v>23</v>
      </c>
      <c r="F23" s="191"/>
      <c r="G23" s="40">
        <f t="shared" si="3"/>
        <v>44432</v>
      </c>
      <c r="H23" s="84">
        <v>44637</v>
      </c>
      <c r="I23" s="118">
        <f t="shared" si="4"/>
        <v>34</v>
      </c>
      <c r="J23" s="118">
        <f t="shared" si="5"/>
        <v>205</v>
      </c>
      <c r="K23" s="119">
        <f t="shared" si="6"/>
        <v>84</v>
      </c>
      <c r="L23" s="83"/>
    </row>
    <row r="24" spans="1:12" ht="18.75" x14ac:dyDescent="0.45">
      <c r="A24" s="83" t="s">
        <v>106</v>
      </c>
      <c r="B24" s="85">
        <v>67019712926</v>
      </c>
      <c r="C24" s="10">
        <f t="shared" si="1"/>
        <v>2761151284</v>
      </c>
      <c r="D24" s="84">
        <v>44457</v>
      </c>
      <c r="E24" s="191">
        <f t="shared" si="2"/>
        <v>32</v>
      </c>
      <c r="F24" s="191"/>
      <c r="G24" s="40">
        <f t="shared" si="3"/>
        <v>44489</v>
      </c>
      <c r="H24" s="84">
        <v>44637</v>
      </c>
      <c r="I24" s="118">
        <f t="shared" si="4"/>
        <v>48</v>
      </c>
      <c r="J24" s="118">
        <f t="shared" si="5"/>
        <v>148</v>
      </c>
      <c r="K24" s="119">
        <f t="shared" si="6"/>
        <v>21</v>
      </c>
      <c r="L24" s="83"/>
    </row>
    <row r="25" spans="1:12" ht="18.75" x14ac:dyDescent="0.45">
      <c r="A25" s="83" t="s">
        <v>107</v>
      </c>
      <c r="B25" s="85">
        <v>70839077338</v>
      </c>
      <c r="C25" s="10">
        <f t="shared" si="1"/>
        <v>3819364412</v>
      </c>
      <c r="D25" s="84">
        <v>44464</v>
      </c>
      <c r="E25" s="191">
        <f t="shared" si="2"/>
        <v>20</v>
      </c>
      <c r="F25" s="191"/>
      <c r="G25" s="40">
        <f t="shared" si="3"/>
        <v>44484</v>
      </c>
      <c r="H25" s="84">
        <v>44637</v>
      </c>
      <c r="I25" s="118">
        <f t="shared" si="4"/>
        <v>7</v>
      </c>
      <c r="J25" s="118">
        <f t="shared" si="5"/>
        <v>153</v>
      </c>
      <c r="K25" s="119">
        <f t="shared" si="6"/>
        <v>209</v>
      </c>
      <c r="L25" s="83"/>
    </row>
    <row r="26" spans="1:12" ht="18.75" x14ac:dyDescent="0.45">
      <c r="A26" s="83" t="s">
        <v>108</v>
      </c>
      <c r="B26" s="85">
        <v>74268296590</v>
      </c>
      <c r="C26" s="10">
        <f t="shared" si="1"/>
        <v>3429219252</v>
      </c>
      <c r="D26" s="84">
        <v>44488</v>
      </c>
      <c r="E26" s="191">
        <f t="shared" si="2"/>
        <v>20</v>
      </c>
      <c r="F26" s="191"/>
      <c r="G26" s="40">
        <f t="shared" si="3"/>
        <v>44508</v>
      </c>
      <c r="H26" s="84">
        <v>44874</v>
      </c>
      <c r="I26" s="118">
        <f t="shared" si="4"/>
        <v>24</v>
      </c>
      <c r="J26" s="118">
        <f t="shared" si="5"/>
        <v>366</v>
      </c>
      <c r="K26" s="119">
        <f t="shared" si="6"/>
        <v>131</v>
      </c>
      <c r="L26" s="83"/>
    </row>
    <row r="27" spans="1:12" ht="18.75" x14ac:dyDescent="0.45">
      <c r="A27" s="83" t="s">
        <v>109</v>
      </c>
      <c r="B27" s="85">
        <v>76399659238</v>
      </c>
      <c r="C27" s="10">
        <f t="shared" si="1"/>
        <v>2131362648</v>
      </c>
      <c r="D27" s="84">
        <v>44521</v>
      </c>
      <c r="E27" s="191">
        <f t="shared" si="2"/>
        <v>22</v>
      </c>
      <c r="F27" s="191"/>
      <c r="G27" s="40">
        <f t="shared" si="3"/>
        <v>44543</v>
      </c>
      <c r="H27" s="84">
        <v>44877</v>
      </c>
      <c r="I27" s="118">
        <f t="shared" si="4"/>
        <v>33</v>
      </c>
      <c r="J27" s="118">
        <f t="shared" si="5"/>
        <v>334</v>
      </c>
      <c r="K27" s="119">
        <f t="shared" si="6"/>
        <v>54</v>
      </c>
      <c r="L27" s="83"/>
    </row>
    <row r="28" spans="1:12" ht="18.75" x14ac:dyDescent="0.45">
      <c r="A28" s="83" t="s">
        <v>110</v>
      </c>
      <c r="B28" s="85">
        <v>92864988865</v>
      </c>
      <c r="C28" s="10">
        <f t="shared" si="1"/>
        <v>16465329627</v>
      </c>
      <c r="D28" s="84">
        <v>44556</v>
      </c>
      <c r="E28" s="191">
        <f t="shared" si="2"/>
        <v>23</v>
      </c>
      <c r="F28" s="191"/>
      <c r="G28" s="40">
        <f t="shared" si="3"/>
        <v>44579</v>
      </c>
      <c r="H28" s="84">
        <v>44909</v>
      </c>
      <c r="I28" s="118">
        <f t="shared" si="4"/>
        <v>35</v>
      </c>
      <c r="J28" s="118">
        <f t="shared" si="5"/>
        <v>330</v>
      </c>
      <c r="K28" s="119">
        <f t="shared" si="6"/>
        <v>389</v>
      </c>
      <c r="L28" s="83"/>
    </row>
    <row r="29" spans="1:12" ht="18.75" x14ac:dyDescent="0.45">
      <c r="A29" s="83" t="s">
        <v>111</v>
      </c>
      <c r="B29" s="85">
        <v>95246194620</v>
      </c>
      <c r="C29" s="10">
        <f t="shared" si="1"/>
        <v>2381205755</v>
      </c>
      <c r="D29" s="84">
        <v>44581</v>
      </c>
      <c r="E29" s="191">
        <f t="shared" si="2"/>
        <v>20</v>
      </c>
      <c r="F29" s="191"/>
      <c r="G29" s="40">
        <f t="shared" si="3"/>
        <v>44601</v>
      </c>
      <c r="H29" s="84">
        <v>44877</v>
      </c>
      <c r="I29" s="118">
        <f t="shared" si="4"/>
        <v>25</v>
      </c>
      <c r="J29" s="118">
        <f>IF((H29-G29)&lt;=0,0,+ROUND(H29-G29,0))</f>
        <v>276</v>
      </c>
      <c r="K29" s="119">
        <f>ROUND(((C29/I29)*($J$5/$J$6)*J29*0.697),0)</f>
        <v>66</v>
      </c>
      <c r="L29" s="83"/>
    </row>
    <row r="30" spans="1:12" ht="18.75" x14ac:dyDescent="0.45">
      <c r="A30" s="83" t="s">
        <v>112</v>
      </c>
      <c r="B30" s="85">
        <v>97216201484</v>
      </c>
      <c r="C30" s="10">
        <f t="shared" si="1"/>
        <v>1970006864</v>
      </c>
      <c r="D30" s="84">
        <v>44612</v>
      </c>
      <c r="E30" s="191">
        <f t="shared" si="2"/>
        <v>21</v>
      </c>
      <c r="F30" s="191"/>
      <c r="G30" s="40">
        <f t="shared" si="3"/>
        <v>44633</v>
      </c>
      <c r="H30" s="84">
        <v>44878</v>
      </c>
      <c r="I30" s="118">
        <f t="shared" si="4"/>
        <v>31</v>
      </c>
      <c r="J30" s="118">
        <f t="shared" si="5"/>
        <v>245</v>
      </c>
      <c r="K30" s="119">
        <f t="shared" si="6"/>
        <v>39</v>
      </c>
      <c r="L30" s="83"/>
    </row>
    <row r="31" spans="1:12" ht="37.5" x14ac:dyDescent="0.45">
      <c r="A31" s="83" t="s">
        <v>113</v>
      </c>
      <c r="B31" s="85">
        <v>105947230306</v>
      </c>
      <c r="C31" s="10">
        <f t="shared" si="1"/>
        <v>8731028822</v>
      </c>
      <c r="D31" s="84">
        <v>44657</v>
      </c>
      <c r="E31" s="191">
        <f t="shared" si="2"/>
        <v>30</v>
      </c>
      <c r="F31" s="191"/>
      <c r="G31" s="40">
        <f t="shared" si="3"/>
        <v>44687</v>
      </c>
      <c r="H31" s="84">
        <v>44909</v>
      </c>
      <c r="I31" s="118">
        <f t="shared" si="4"/>
        <v>45</v>
      </c>
      <c r="J31" s="118">
        <f t="shared" si="5"/>
        <v>222</v>
      </c>
      <c r="K31" s="119">
        <f t="shared" si="6"/>
        <v>108</v>
      </c>
      <c r="L31" s="83"/>
    </row>
    <row r="32" spans="1:12" ht="18.75" x14ac:dyDescent="0.45">
      <c r="A32" s="83" t="s">
        <v>114</v>
      </c>
      <c r="B32" s="85">
        <v>109599080954</v>
      </c>
      <c r="C32" s="10">
        <f t="shared" si="1"/>
        <v>3651850648</v>
      </c>
      <c r="D32" s="84">
        <v>44704</v>
      </c>
      <c r="E32" s="191">
        <f t="shared" si="2"/>
        <v>31</v>
      </c>
      <c r="F32" s="191"/>
      <c r="G32" s="40">
        <f t="shared" si="3"/>
        <v>44735</v>
      </c>
      <c r="H32" s="84">
        <v>44909</v>
      </c>
      <c r="I32" s="118">
        <f t="shared" si="4"/>
        <v>47</v>
      </c>
      <c r="J32" s="118">
        <f t="shared" si="5"/>
        <v>174</v>
      </c>
      <c r="K32" s="119">
        <f t="shared" si="6"/>
        <v>34</v>
      </c>
      <c r="L32" s="83"/>
    </row>
    <row r="33" spans="1:12" ht="18.75" x14ac:dyDescent="0.45">
      <c r="A33" s="83" t="s">
        <v>115</v>
      </c>
      <c r="B33" s="85">
        <v>113544554779</v>
      </c>
      <c r="C33" s="10">
        <f t="shared" si="1"/>
        <v>3945473825</v>
      </c>
      <c r="D33" s="84">
        <v>44727</v>
      </c>
      <c r="E33" s="191">
        <f t="shared" si="2"/>
        <v>20</v>
      </c>
      <c r="F33" s="191"/>
      <c r="G33" s="40">
        <f t="shared" si="3"/>
        <v>44747</v>
      </c>
      <c r="H33" s="84">
        <v>44909</v>
      </c>
      <c r="I33" s="118">
        <f t="shared" si="4"/>
        <v>23</v>
      </c>
      <c r="J33" s="118">
        <f t="shared" si="5"/>
        <v>162</v>
      </c>
      <c r="K33" s="119">
        <f t="shared" si="6"/>
        <v>70</v>
      </c>
      <c r="L33" s="83"/>
    </row>
    <row r="34" spans="1:12" ht="18.75" x14ac:dyDescent="0.45">
      <c r="A34" s="83" t="s">
        <v>137</v>
      </c>
      <c r="B34" s="85">
        <v>117447535237</v>
      </c>
      <c r="C34" s="10">
        <v>2117060696</v>
      </c>
      <c r="D34" s="84">
        <v>44763</v>
      </c>
      <c r="E34" s="191">
        <f t="shared" ref="E34:E40" si="7">IF(I34&lt;=30,20,ROUND(I34*2/3,0))</f>
        <v>24</v>
      </c>
      <c r="F34" s="191"/>
      <c r="G34" s="40">
        <f t="shared" ref="G34:G40" si="8">D34+E34</f>
        <v>44787</v>
      </c>
      <c r="H34" s="84">
        <v>44909</v>
      </c>
      <c r="I34" s="118">
        <f t="shared" ref="I34:I40" si="9">D34-D33</f>
        <v>36</v>
      </c>
      <c r="J34" s="118">
        <f t="shared" ref="J34:J40" si="10">IF((H34-G34)&lt;=0,0,+ROUND(H34-G34,0))</f>
        <v>122</v>
      </c>
      <c r="K34" s="119">
        <f t="shared" ref="K34:K40" si="11">ROUND(((C34/I34)*($J$5/$J$6)*J34*0.697),0)</f>
        <v>18</v>
      </c>
      <c r="L34" s="83"/>
    </row>
    <row r="35" spans="1:12" ht="37.5" x14ac:dyDescent="0.45">
      <c r="A35" s="83" t="s">
        <v>136</v>
      </c>
      <c r="B35" s="85">
        <v>117447535238</v>
      </c>
      <c r="C35" s="10">
        <v>1684442270</v>
      </c>
      <c r="D35" s="84">
        <v>44763</v>
      </c>
      <c r="E35" s="191">
        <f t="shared" ref="E35" si="12">IF(I35&lt;=30,20,ROUND(I35*2/3,0))</f>
        <v>24</v>
      </c>
      <c r="F35" s="191"/>
      <c r="G35" s="40">
        <f t="shared" ref="G35" si="13">D35+E35</f>
        <v>44787</v>
      </c>
      <c r="H35" s="84">
        <v>45024</v>
      </c>
      <c r="I35" s="118">
        <f>I34</f>
        <v>36</v>
      </c>
      <c r="J35" s="118">
        <f t="shared" ref="J35" si="14">IF((H35-G35)&lt;=0,0,+ROUND(H35-G35,0))</f>
        <v>237</v>
      </c>
      <c r="K35" s="119">
        <f t="shared" ref="K35" si="15">ROUND(((C35/I35)*($J$5/$J$6)*J35*0.697),0)</f>
        <v>28</v>
      </c>
      <c r="L35" s="83" t="s">
        <v>84</v>
      </c>
    </row>
    <row r="36" spans="1:12" ht="37.5" x14ac:dyDescent="0.45">
      <c r="A36" s="83" t="s">
        <v>131</v>
      </c>
      <c r="B36" s="85">
        <v>124058663641</v>
      </c>
      <c r="C36" s="10">
        <f>B36-B35</f>
        <v>6611128403</v>
      </c>
      <c r="D36" s="84">
        <v>44798</v>
      </c>
      <c r="E36" s="191">
        <f t="shared" si="7"/>
        <v>23</v>
      </c>
      <c r="F36" s="191"/>
      <c r="G36" s="40">
        <f t="shared" si="8"/>
        <v>44821</v>
      </c>
      <c r="H36" s="84">
        <v>45024</v>
      </c>
      <c r="I36" s="118">
        <f>D36-D34</f>
        <v>35</v>
      </c>
      <c r="J36" s="118">
        <f t="shared" si="10"/>
        <v>203</v>
      </c>
      <c r="K36" s="119">
        <f t="shared" si="11"/>
        <v>96</v>
      </c>
      <c r="L36" s="83" t="s">
        <v>84</v>
      </c>
    </row>
    <row r="37" spans="1:12" ht="37.5" x14ac:dyDescent="0.45">
      <c r="A37" s="83" t="s">
        <v>132</v>
      </c>
      <c r="B37" s="85">
        <v>125803172448</v>
      </c>
      <c r="C37" s="10">
        <f>B37-B36</f>
        <v>1744508807</v>
      </c>
      <c r="D37" s="84">
        <v>44832</v>
      </c>
      <c r="E37" s="191">
        <f t="shared" si="7"/>
        <v>23</v>
      </c>
      <c r="F37" s="191"/>
      <c r="G37" s="40">
        <f t="shared" si="8"/>
        <v>44855</v>
      </c>
      <c r="H37" s="84">
        <v>45024</v>
      </c>
      <c r="I37" s="118">
        <f t="shared" si="9"/>
        <v>34</v>
      </c>
      <c r="J37" s="118">
        <f t="shared" si="10"/>
        <v>169</v>
      </c>
      <c r="K37" s="119">
        <f t="shared" si="11"/>
        <v>22</v>
      </c>
      <c r="L37" s="83" t="s">
        <v>84</v>
      </c>
    </row>
    <row r="38" spans="1:12" ht="37.5" x14ac:dyDescent="0.45">
      <c r="A38" s="83" t="s">
        <v>133</v>
      </c>
      <c r="B38" s="85">
        <v>126153714746</v>
      </c>
      <c r="C38" s="10">
        <f t="shared" ref="C38:C40" si="16">B38-B37</f>
        <v>350542298</v>
      </c>
      <c r="D38" s="84">
        <v>44912</v>
      </c>
      <c r="E38" s="191">
        <f t="shared" si="7"/>
        <v>53</v>
      </c>
      <c r="F38" s="191"/>
      <c r="G38" s="40">
        <f t="shared" si="8"/>
        <v>44965</v>
      </c>
      <c r="H38" s="84">
        <v>45024</v>
      </c>
      <c r="I38" s="118">
        <f t="shared" si="9"/>
        <v>80</v>
      </c>
      <c r="J38" s="118">
        <f t="shared" si="10"/>
        <v>59</v>
      </c>
      <c r="K38" s="119">
        <f t="shared" si="11"/>
        <v>1</v>
      </c>
      <c r="L38" s="83" t="s">
        <v>84</v>
      </c>
    </row>
    <row r="39" spans="1:12" ht="37.5" x14ac:dyDescent="0.45">
      <c r="A39" s="83" t="s">
        <v>134</v>
      </c>
      <c r="B39" s="85">
        <v>131944519390</v>
      </c>
      <c r="C39" s="10">
        <f t="shared" si="16"/>
        <v>5790804644</v>
      </c>
      <c r="D39" s="84">
        <v>44929</v>
      </c>
      <c r="E39" s="191">
        <f t="shared" si="7"/>
        <v>20</v>
      </c>
      <c r="F39" s="191"/>
      <c r="G39" s="40">
        <f t="shared" si="8"/>
        <v>44949</v>
      </c>
      <c r="H39" s="84">
        <v>45024</v>
      </c>
      <c r="I39" s="118">
        <f t="shared" si="9"/>
        <v>17</v>
      </c>
      <c r="J39" s="118">
        <f t="shared" si="10"/>
        <v>75</v>
      </c>
      <c r="K39" s="119">
        <f t="shared" si="11"/>
        <v>64</v>
      </c>
      <c r="L39" s="83" t="s">
        <v>84</v>
      </c>
    </row>
    <row r="40" spans="1:12" ht="37.5" x14ac:dyDescent="0.45">
      <c r="A40" s="83" t="s">
        <v>135</v>
      </c>
      <c r="B40" s="85">
        <v>135313484606</v>
      </c>
      <c r="C40" s="10">
        <f t="shared" si="16"/>
        <v>3368965216</v>
      </c>
      <c r="D40" s="84">
        <v>44954</v>
      </c>
      <c r="E40" s="191">
        <f t="shared" si="7"/>
        <v>20</v>
      </c>
      <c r="F40" s="191"/>
      <c r="G40" s="40">
        <f t="shared" si="8"/>
        <v>44974</v>
      </c>
      <c r="H40" s="84">
        <v>45024</v>
      </c>
      <c r="I40" s="118">
        <f t="shared" si="9"/>
        <v>25</v>
      </c>
      <c r="J40" s="118">
        <f t="shared" si="10"/>
        <v>50</v>
      </c>
      <c r="K40" s="119">
        <f t="shared" si="11"/>
        <v>17</v>
      </c>
      <c r="L40" s="83" t="s">
        <v>84</v>
      </c>
    </row>
  </sheetData>
  <mergeCells count="42">
    <mergeCell ref="E12:F12"/>
    <mergeCell ref="E13:F13"/>
    <mergeCell ref="L10:L11"/>
    <mergeCell ref="E11:F11"/>
    <mergeCell ref="A2:L3"/>
    <mergeCell ref="B4:C4"/>
    <mergeCell ref="B5:C5"/>
    <mergeCell ref="B7:G7"/>
    <mergeCell ref="E9:F9"/>
    <mergeCell ref="A10:A11"/>
    <mergeCell ref="B10:B11"/>
    <mergeCell ref="D10:D11"/>
    <mergeCell ref="E10:F10"/>
    <mergeCell ref="J5:K5"/>
    <mergeCell ref="J6:K6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31:F31"/>
    <mergeCell ref="E32:F32"/>
    <mergeCell ref="E33:F33"/>
    <mergeCell ref="E40:F40"/>
    <mergeCell ref="E35:F35"/>
    <mergeCell ref="E34:F34"/>
    <mergeCell ref="E36:F36"/>
    <mergeCell ref="E37:F37"/>
    <mergeCell ref="E38:F38"/>
    <mergeCell ref="E39:F39"/>
  </mergeCells>
  <pageMargins left="0.83" right="0.7" top="0.75" bottom="0.75" header="0.3" footer="0.3"/>
  <pageSetup scale="69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F66"/>
  <sheetViews>
    <sheetView rightToLeft="1" zoomScale="55" zoomScaleNormal="55" workbookViewId="0">
      <selection activeCell="B66" sqref="B66"/>
    </sheetView>
  </sheetViews>
  <sheetFormatPr defaultRowHeight="15" x14ac:dyDescent="0.25"/>
  <cols>
    <col min="1" max="1" width="7.42578125" customWidth="1"/>
    <col min="2" max="6" width="19" customWidth="1"/>
    <col min="7" max="7" width="13.42578125" customWidth="1"/>
  </cols>
  <sheetData>
    <row r="1" spans="1:6" ht="55.5" customHeight="1" x14ac:dyDescent="0.25">
      <c r="A1" s="90" t="s">
        <v>71</v>
      </c>
      <c r="B1" s="90" t="s">
        <v>70</v>
      </c>
      <c r="C1" s="90" t="s">
        <v>2</v>
      </c>
      <c r="D1" s="90" t="s">
        <v>3</v>
      </c>
      <c r="E1" s="90" t="s">
        <v>56</v>
      </c>
      <c r="F1" s="90" t="s">
        <v>6</v>
      </c>
    </row>
    <row r="2" spans="1:6" ht="21" x14ac:dyDescent="0.6">
      <c r="A2" s="90">
        <v>1</v>
      </c>
      <c r="B2" s="86" t="str">
        <f>'قسط اول پیش پرداخت '!B12</f>
        <v xml:space="preserve">فسط اول پیش پرداخت </v>
      </c>
      <c r="C2" s="110">
        <f>'قسط اول پیش پرداخت '!F12</f>
        <v>43903</v>
      </c>
      <c r="D2" s="89">
        <f>'قسط اول پیش پرداخت '!G12</f>
        <v>43970</v>
      </c>
      <c r="E2" s="87">
        <f>'قسط اول پیش پرداخت '!H12</f>
        <v>67</v>
      </c>
      <c r="F2" s="87">
        <f>'قسط اول پیش پرداخت '!K12</f>
        <v>60</v>
      </c>
    </row>
    <row r="3" spans="1:6" ht="21" x14ac:dyDescent="0.6">
      <c r="A3" s="90">
        <v>2</v>
      </c>
      <c r="B3" s="86" t="str">
        <f>'باقی پیش پرداخت ها '!B13</f>
        <v>قسط دوم پیش پرداخت</v>
      </c>
      <c r="C3" s="110">
        <f>'باقی پیش پرداخت ها '!H13</f>
        <v>43994</v>
      </c>
      <c r="D3" s="89">
        <f>'باقی پیش پرداخت ها '!K13</f>
        <v>44024</v>
      </c>
      <c r="E3" s="87">
        <f>'باقی پیش پرداخت ها '!L13</f>
        <v>30</v>
      </c>
      <c r="F3" s="87">
        <f>'باقی پیش پرداخت ها '!M13</f>
        <v>29</v>
      </c>
    </row>
    <row r="4" spans="1:6" ht="21" x14ac:dyDescent="0.6">
      <c r="A4" s="90">
        <v>5</v>
      </c>
      <c r="B4" s="86" t="str">
        <f>'صورت وضعیت '!A12</f>
        <v>کارکرد2</v>
      </c>
      <c r="C4" s="110">
        <f>'صورت وضعیت '!G12</f>
        <v>44029</v>
      </c>
      <c r="D4" s="89">
        <f>'صورت وضعیت '!H12</f>
        <v>44107</v>
      </c>
      <c r="E4" s="87">
        <f>'صورت وضعیت '!J12</f>
        <v>78</v>
      </c>
      <c r="F4" s="87">
        <f>'صورت وضعیت '!K12</f>
        <v>48</v>
      </c>
    </row>
    <row r="5" spans="1:6" ht="21" x14ac:dyDescent="0.6">
      <c r="A5" s="90">
        <v>4</v>
      </c>
      <c r="B5" s="86" t="str">
        <f>'صورت وضعیت '!A11</f>
        <v>کارکرد1</v>
      </c>
      <c r="C5" s="110">
        <f>'صورت وضعیت '!G11</f>
        <v>44051</v>
      </c>
      <c r="D5" s="89">
        <f>'صورت وضعیت '!H11</f>
        <v>44012</v>
      </c>
      <c r="E5" s="87">
        <f>'صورت وضعیت '!J11</f>
        <v>0</v>
      </c>
      <c r="F5" s="87">
        <f>'صورت وضعیت '!K11</f>
        <v>0</v>
      </c>
    </row>
    <row r="6" spans="1:6" ht="21" x14ac:dyDescent="0.6">
      <c r="A6" s="90">
        <v>6</v>
      </c>
      <c r="B6" s="86" t="str">
        <f>'صورت وضعیت '!A13</f>
        <v>کارکرد3</v>
      </c>
      <c r="C6" s="110">
        <f>'صورت وضعیت '!G13</f>
        <v>44055</v>
      </c>
      <c r="D6" s="89">
        <f>'صورت وضعیت '!H13</f>
        <v>44107</v>
      </c>
      <c r="E6" s="87">
        <f>'صورت وضعیت '!J13</f>
        <v>52</v>
      </c>
      <c r="F6" s="87">
        <f>'صورت وضعیت '!K13</f>
        <v>67</v>
      </c>
    </row>
    <row r="7" spans="1:6" ht="21" x14ac:dyDescent="0.6">
      <c r="A7" s="90">
        <v>38</v>
      </c>
      <c r="B7" s="86" t="str">
        <f>تعدیل!A13</f>
        <v>تعدیل شماره 2</v>
      </c>
      <c r="C7" s="110">
        <f>تعدیل!G13</f>
        <v>44081</v>
      </c>
      <c r="D7" s="89">
        <f>تعدیل!H13</f>
        <v>44205</v>
      </c>
      <c r="E7" s="87">
        <f>تعدیل!J13</f>
        <v>124</v>
      </c>
      <c r="F7" s="87">
        <f>تعدیل!K13</f>
        <v>64</v>
      </c>
    </row>
    <row r="8" spans="1:6" ht="21" x14ac:dyDescent="0.6">
      <c r="A8" s="90">
        <v>39</v>
      </c>
      <c r="B8" s="86" t="str">
        <f>تعدیل!A14</f>
        <v>تعدیل شماره 3</v>
      </c>
      <c r="C8" s="110">
        <f>تعدیل!G14</f>
        <v>44099</v>
      </c>
      <c r="D8" s="89">
        <f>تعدیل!H14</f>
        <v>44205</v>
      </c>
      <c r="E8" s="87">
        <f>تعدیل!J14</f>
        <v>106</v>
      </c>
      <c r="F8" s="87">
        <f>تعدیل!K14</f>
        <v>69</v>
      </c>
    </row>
    <row r="9" spans="1:6" ht="21" x14ac:dyDescent="0.6">
      <c r="A9" s="90">
        <v>7</v>
      </c>
      <c r="B9" s="86" t="str">
        <f>'صورت وضعیت '!A14</f>
        <v>کارکرد4</v>
      </c>
      <c r="C9" s="110">
        <f>'صورت وضعیت '!G14</f>
        <v>44100</v>
      </c>
      <c r="D9" s="89">
        <f>'صورت وضعیت '!H14</f>
        <v>44117</v>
      </c>
      <c r="E9" s="87">
        <f>'صورت وضعیت '!J14</f>
        <v>17</v>
      </c>
      <c r="F9" s="87">
        <f>'صورت وضعیت '!K14</f>
        <v>13</v>
      </c>
    </row>
    <row r="10" spans="1:6" ht="21" x14ac:dyDescent="0.6">
      <c r="A10" s="90">
        <v>8</v>
      </c>
      <c r="B10" s="86" t="str">
        <f>'صورت وضعیت '!A15</f>
        <v>کارکرد5</v>
      </c>
      <c r="C10" s="110">
        <f>'صورت وضعیت '!G15</f>
        <v>44116</v>
      </c>
      <c r="D10" s="89">
        <f>'صورت وضعیت '!H15</f>
        <v>44205</v>
      </c>
      <c r="E10" s="87">
        <f>'صورت وضعیت '!J15</f>
        <v>89</v>
      </c>
      <c r="F10" s="87">
        <f>'صورت وضعیت '!K15</f>
        <v>32</v>
      </c>
    </row>
    <row r="11" spans="1:6" ht="21" x14ac:dyDescent="0.6">
      <c r="A11" s="90">
        <v>37</v>
      </c>
      <c r="B11" s="86" t="str">
        <f>تعدیل!A12</f>
        <v>تعدیل شماره 1</v>
      </c>
      <c r="C11" s="110">
        <f>تعدیل!G12</f>
        <v>44118</v>
      </c>
      <c r="D11" s="89">
        <f>تعدیل!H12</f>
        <v>44107</v>
      </c>
      <c r="E11" s="87">
        <f>تعدیل!J12</f>
        <v>0</v>
      </c>
      <c r="F11" s="87">
        <f>تعدیل!K12</f>
        <v>0</v>
      </c>
    </row>
    <row r="12" spans="1:6" ht="21" x14ac:dyDescent="0.6">
      <c r="A12" s="90">
        <v>40</v>
      </c>
      <c r="B12" s="86" t="str">
        <f>تعدیل!A15</f>
        <v>تعدیل شماره 4</v>
      </c>
      <c r="C12" s="110">
        <f>تعدیل!G15</f>
        <v>44121</v>
      </c>
      <c r="D12" s="89">
        <f>تعدیل!H15</f>
        <v>44205</v>
      </c>
      <c r="E12" s="87">
        <f>تعدیل!J15</f>
        <v>84</v>
      </c>
      <c r="F12" s="87">
        <f>تعدیل!K15</f>
        <v>14</v>
      </c>
    </row>
    <row r="13" spans="1:6" ht="21" x14ac:dyDescent="0.6">
      <c r="A13" s="90">
        <v>9</v>
      </c>
      <c r="B13" s="86" t="str">
        <f>'صورت وضعیت '!A16</f>
        <v>کارکرد6</v>
      </c>
      <c r="C13" s="110">
        <f>'صورت وضعیت '!G16</f>
        <v>44161</v>
      </c>
      <c r="D13" s="89">
        <f>'صورت وضعیت '!H16</f>
        <v>44249</v>
      </c>
      <c r="E13" s="87">
        <f>'صورت وضعیت '!J16</f>
        <v>88</v>
      </c>
      <c r="F13" s="87">
        <f>'صورت وضعیت '!K16</f>
        <v>15</v>
      </c>
    </row>
    <row r="14" spans="1:6" ht="21" x14ac:dyDescent="0.6">
      <c r="A14" s="90">
        <v>10</v>
      </c>
      <c r="B14" s="86" t="str">
        <f>'صورت وضعیت '!A17</f>
        <v>کارکرد7</v>
      </c>
      <c r="C14" s="110">
        <f>'صورت وضعیت '!G17</f>
        <v>44185</v>
      </c>
      <c r="D14" s="89">
        <f>'صورت وضعیت '!H17</f>
        <v>44249</v>
      </c>
      <c r="E14" s="87">
        <f>'صورت وضعیت '!J17</f>
        <v>64</v>
      </c>
      <c r="F14" s="87">
        <f>'صورت وضعیت '!K17</f>
        <v>7</v>
      </c>
    </row>
    <row r="15" spans="1:6" ht="21" x14ac:dyDescent="0.6">
      <c r="A15" s="90">
        <v>11</v>
      </c>
      <c r="B15" s="86" t="str">
        <f>'صورت وضعیت '!A18</f>
        <v>کارکرد8</v>
      </c>
      <c r="C15" s="110">
        <f>'صورت وضعیت '!G18</f>
        <v>44205</v>
      </c>
      <c r="D15" s="89">
        <f>'صورت وضعیت '!H18</f>
        <v>44249</v>
      </c>
      <c r="E15" s="87">
        <f>'صورت وضعیت '!J18</f>
        <v>44</v>
      </c>
      <c r="F15" s="87">
        <f>'صورت وضعیت '!K18</f>
        <v>20</v>
      </c>
    </row>
    <row r="16" spans="1:6" ht="21" x14ac:dyDescent="0.6">
      <c r="A16" s="90">
        <v>41</v>
      </c>
      <c r="B16" s="86" t="str">
        <f>تعدیل!A16</f>
        <v>تعدیل شماره 5</v>
      </c>
      <c r="C16" s="110">
        <f>تعدیل!G16</f>
        <v>44208</v>
      </c>
      <c r="D16" s="89">
        <f>تعدیل!H16</f>
        <v>44249</v>
      </c>
      <c r="E16" s="87">
        <f>تعدیل!J16</f>
        <v>41</v>
      </c>
      <c r="F16" s="87">
        <f>تعدیل!K16</f>
        <v>14</v>
      </c>
    </row>
    <row r="17" spans="1:6" ht="21" x14ac:dyDescent="0.6">
      <c r="A17" s="90">
        <v>42</v>
      </c>
      <c r="B17" s="86" t="str">
        <f>تعدیل!A17</f>
        <v>تعدیل شماره 6</v>
      </c>
      <c r="C17" s="110">
        <f>تعدیل!G17</f>
        <v>44215</v>
      </c>
      <c r="D17" s="89">
        <f>تعدیل!H17</f>
        <v>44362</v>
      </c>
      <c r="E17" s="87">
        <f>تعدیل!J17</f>
        <v>147</v>
      </c>
      <c r="F17" s="87">
        <f>تعدیل!K17</f>
        <v>19</v>
      </c>
    </row>
    <row r="18" spans="1:6" ht="21" x14ac:dyDescent="0.6">
      <c r="A18" s="90">
        <v>12</v>
      </c>
      <c r="B18" s="86" t="str">
        <f>'صورت وضعیت '!A19</f>
        <v>کارکرد9</v>
      </c>
      <c r="C18" s="110">
        <f>'صورت وضعیت '!G19</f>
        <v>44245</v>
      </c>
      <c r="D18" s="89">
        <f>'صورت وضعیت '!H19</f>
        <v>44265</v>
      </c>
      <c r="E18" s="87">
        <f>'صورت وضعیت '!J19</f>
        <v>20</v>
      </c>
      <c r="F18" s="87">
        <f>'صورت وضعیت '!K19</f>
        <v>10</v>
      </c>
    </row>
    <row r="19" spans="1:6" ht="21" x14ac:dyDescent="0.6">
      <c r="A19" s="90">
        <v>13</v>
      </c>
      <c r="B19" s="86" t="str">
        <f>'صورت وضعیت '!A20</f>
        <v>کارکرد10</v>
      </c>
      <c r="C19" s="110">
        <f>'صورت وضعیت '!G20</f>
        <v>44258</v>
      </c>
      <c r="D19" s="89">
        <f>'صورت وضعیت '!H20</f>
        <v>44478</v>
      </c>
      <c r="E19" s="87">
        <f>'صورت وضعیت '!J20</f>
        <v>220</v>
      </c>
      <c r="F19" s="87">
        <f>'صورت وضعیت '!K20</f>
        <v>200</v>
      </c>
    </row>
    <row r="20" spans="1:6" ht="21" x14ac:dyDescent="0.6">
      <c r="A20" s="90">
        <v>43</v>
      </c>
      <c r="B20" s="86" t="str">
        <f>تعدیل!A18</f>
        <v>تعدیل شماره 7</v>
      </c>
      <c r="C20" s="110">
        <f>تعدیل!G18</f>
        <v>44262</v>
      </c>
      <c r="D20" s="89">
        <f>تعدیل!H18</f>
        <v>44478</v>
      </c>
      <c r="E20" s="87">
        <f>تعدیل!J18</f>
        <v>216</v>
      </c>
      <c r="F20" s="87">
        <f>تعدیل!K18</f>
        <v>127</v>
      </c>
    </row>
    <row r="21" spans="1:6" ht="21" x14ac:dyDescent="0.6">
      <c r="A21" s="90">
        <v>44</v>
      </c>
      <c r="B21" s="86" t="str">
        <f>تعدیل!A19</f>
        <v>تعدیل شماره 8</v>
      </c>
      <c r="C21" s="110">
        <f>تعدیل!G19</f>
        <v>44271</v>
      </c>
      <c r="D21" s="89">
        <f>تعدیل!H19</f>
        <v>44384</v>
      </c>
      <c r="E21" s="87">
        <f>تعدیل!J19</f>
        <v>113</v>
      </c>
      <c r="F21" s="87">
        <f>تعدیل!K19</f>
        <v>78</v>
      </c>
    </row>
    <row r="22" spans="1:6" ht="21" x14ac:dyDescent="0.6">
      <c r="A22" s="90">
        <v>14</v>
      </c>
      <c r="B22" s="86" t="str">
        <f>'صورت وضعیت '!A21</f>
        <v>کارکرد11</v>
      </c>
      <c r="C22" s="110">
        <f>'صورت وضعیت '!G21</f>
        <v>44274</v>
      </c>
      <c r="D22" s="89">
        <f>'صورت وضعیت '!H21</f>
        <v>44390</v>
      </c>
      <c r="E22" s="87">
        <f>'صورت وضعیت '!J21</f>
        <v>116</v>
      </c>
      <c r="F22" s="87">
        <f>'صورت وضعیت '!K21</f>
        <v>51</v>
      </c>
    </row>
    <row r="23" spans="1:6" ht="21" x14ac:dyDescent="0.6">
      <c r="A23" s="90">
        <v>45</v>
      </c>
      <c r="B23" s="86" t="str">
        <f>تعدیل!A20</f>
        <v>تعدیل شماره 9</v>
      </c>
      <c r="C23" s="110">
        <f>تعدیل!G20</f>
        <v>44319</v>
      </c>
      <c r="D23" s="89">
        <f>تعدیل!H20</f>
        <v>44478</v>
      </c>
      <c r="E23" s="87">
        <f>تعدیل!J20</f>
        <v>159</v>
      </c>
      <c r="F23" s="87">
        <f>تعدیل!K20</f>
        <v>19</v>
      </c>
    </row>
    <row r="24" spans="1:6" ht="21" x14ac:dyDescent="0.6">
      <c r="A24" s="90">
        <v>15</v>
      </c>
      <c r="B24" s="86" t="str">
        <f>'صورت وضعیت '!A22</f>
        <v>کارکرد12</v>
      </c>
      <c r="C24" s="110">
        <f>'صورت وضعیت '!G22</f>
        <v>44347</v>
      </c>
      <c r="D24" s="89">
        <f>'صورت وضعیت '!H22</f>
        <v>44390</v>
      </c>
      <c r="E24" s="87">
        <f>'صورت وضعیت '!J22</f>
        <v>43</v>
      </c>
      <c r="F24" s="87">
        <f>'صورت وضعیت '!K22</f>
        <v>8</v>
      </c>
    </row>
    <row r="25" spans="1:6" ht="21" x14ac:dyDescent="0.6">
      <c r="A25" s="90">
        <v>46</v>
      </c>
      <c r="B25" s="86" t="str">
        <f>تعدیل!A21</f>
        <v>تعدیل شماره 10</v>
      </c>
      <c r="C25" s="110">
        <f>تعدیل!G21</f>
        <v>44357</v>
      </c>
      <c r="D25" s="89">
        <f>تعدیل!H21</f>
        <v>44576</v>
      </c>
      <c r="E25" s="87">
        <f>تعدیل!J21</f>
        <v>219</v>
      </c>
      <c r="F25" s="87">
        <f>تعدیل!K21</f>
        <v>41</v>
      </c>
    </row>
    <row r="26" spans="1:6" ht="21" x14ac:dyDescent="0.6">
      <c r="A26" s="90">
        <v>16</v>
      </c>
      <c r="B26" s="86" t="str">
        <f>'صورت وضعیت '!A23</f>
        <v>کارکرد13</v>
      </c>
      <c r="C26" s="110">
        <f>'صورت وضعیت '!G23</f>
        <v>44360</v>
      </c>
      <c r="D26" s="89">
        <f>'صورت وضعیت '!H23</f>
        <v>44637</v>
      </c>
      <c r="E26" s="87">
        <f>'صورت وضعیت '!J23</f>
        <v>277</v>
      </c>
      <c r="F26" s="87">
        <f>'صورت وضعیت '!K23</f>
        <v>122</v>
      </c>
    </row>
    <row r="27" spans="1:6" ht="21" x14ac:dyDescent="0.6">
      <c r="A27" s="90">
        <v>17</v>
      </c>
      <c r="B27" s="86" t="str">
        <f>'صورت وضعیت '!A24</f>
        <v>کارکرد14</v>
      </c>
      <c r="C27" s="110">
        <f>'صورت وضعیت '!G24</f>
        <v>44395</v>
      </c>
      <c r="D27" s="89">
        <f>'صورت وضعیت '!H24</f>
        <v>44637</v>
      </c>
      <c r="E27" s="87">
        <f>'صورت وضعیت '!J24</f>
        <v>242</v>
      </c>
      <c r="F27" s="87">
        <f>'صورت وضعیت '!K24</f>
        <v>114</v>
      </c>
    </row>
    <row r="28" spans="1:6" ht="21" x14ac:dyDescent="0.6">
      <c r="A28" s="90">
        <v>47</v>
      </c>
      <c r="B28" s="86" t="str">
        <f>تعدیل!A22</f>
        <v>تعدیل شماره 11</v>
      </c>
      <c r="C28" s="110">
        <f>تعدیل!G22</f>
        <v>44404</v>
      </c>
      <c r="D28" s="89">
        <f>تعدیل!H22</f>
        <v>44637</v>
      </c>
      <c r="E28" s="87">
        <f>تعدیل!J22</f>
        <v>233</v>
      </c>
      <c r="F28" s="87">
        <f>تعدیل!K22</f>
        <v>174</v>
      </c>
    </row>
    <row r="29" spans="1:6" ht="21" x14ac:dyDescent="0.6">
      <c r="A29" s="90">
        <v>18</v>
      </c>
      <c r="B29" s="86" t="str">
        <f>'صورت وضعیت '!A25</f>
        <v>کارکرد15</v>
      </c>
      <c r="C29" s="110">
        <f>'صورت وضعیت '!G25</f>
        <v>44426</v>
      </c>
      <c r="D29" s="89">
        <f>'صورت وضعیت '!H25</f>
        <v>44637</v>
      </c>
      <c r="E29" s="87">
        <f>'صورت وضعیت '!J25</f>
        <v>211</v>
      </c>
      <c r="F29" s="87">
        <f>'صورت وضعیت '!K25</f>
        <v>55</v>
      </c>
    </row>
    <row r="30" spans="1:6" ht="21" x14ac:dyDescent="0.6">
      <c r="A30" s="90">
        <v>48</v>
      </c>
      <c r="B30" s="86" t="str">
        <f>تعدیل!A23</f>
        <v>تعدیل شماره 12</v>
      </c>
      <c r="C30" s="110">
        <f>تعدیل!G23</f>
        <v>44432</v>
      </c>
      <c r="D30" s="89">
        <f>تعدیل!H23</f>
        <v>44637</v>
      </c>
      <c r="E30" s="87">
        <f>تعدیل!J23</f>
        <v>205</v>
      </c>
      <c r="F30" s="87">
        <f>تعدیل!K23</f>
        <v>84</v>
      </c>
    </row>
    <row r="31" spans="1:6" ht="21" x14ac:dyDescent="0.6">
      <c r="A31" s="90">
        <v>3</v>
      </c>
      <c r="B31" s="86" t="str">
        <f>'باقی پیش پرداخت ها '!B14</f>
        <v>قسط سوم پیش پرداخت</v>
      </c>
      <c r="C31" s="110">
        <f>'باقی پیش پرداخت ها '!H14</f>
        <v>44441</v>
      </c>
      <c r="D31" s="89">
        <f>'باقی پیش پرداخت ها '!K14</f>
        <v>44478</v>
      </c>
      <c r="E31" s="87">
        <f>'باقی پیش پرداخت ها '!L14</f>
        <v>37</v>
      </c>
      <c r="F31" s="87">
        <f>'باقی پیش پرداخت ها '!M14</f>
        <v>25</v>
      </c>
    </row>
    <row r="32" spans="1:6" ht="21" x14ac:dyDescent="0.6">
      <c r="A32" s="90">
        <v>19</v>
      </c>
      <c r="B32" s="86" t="str">
        <f>'صورت وضعیت '!A26</f>
        <v>کارکرد16</v>
      </c>
      <c r="C32" s="110">
        <f>'صورت وضعیت '!G26</f>
        <v>44457</v>
      </c>
      <c r="D32" s="89">
        <f>'صورت وضعیت '!H26</f>
        <v>44637</v>
      </c>
      <c r="E32" s="87">
        <f>'صورت وضعیت '!J26</f>
        <v>180</v>
      </c>
      <c r="F32" s="87">
        <f>'صورت وضعیت '!K26</f>
        <v>49</v>
      </c>
    </row>
    <row r="33" spans="1:6" ht="21" x14ac:dyDescent="0.6">
      <c r="A33" s="90">
        <v>20</v>
      </c>
      <c r="B33" s="86" t="str">
        <f>'صورت وضعیت '!A27</f>
        <v>کارکرد17</v>
      </c>
      <c r="C33" s="110">
        <f>'صورت وضعیت '!G27</f>
        <v>44482</v>
      </c>
      <c r="D33" s="89">
        <f>'صورت وضعیت '!H27</f>
        <v>44637</v>
      </c>
      <c r="E33" s="87">
        <f>'صورت وضعیت '!J27</f>
        <v>155</v>
      </c>
      <c r="F33" s="87">
        <f>'صورت وضعیت '!K27</f>
        <v>41</v>
      </c>
    </row>
    <row r="34" spans="1:6" ht="21" x14ac:dyDescent="0.6">
      <c r="A34" s="90">
        <v>50</v>
      </c>
      <c r="B34" s="86" t="str">
        <f>تعدیل!A25</f>
        <v>تعدیل شماره 14</v>
      </c>
      <c r="C34" s="110">
        <f>تعدیل!G25</f>
        <v>44484</v>
      </c>
      <c r="D34" s="89">
        <f>تعدیل!H25</f>
        <v>44637</v>
      </c>
      <c r="E34" s="87">
        <f>تعدیل!J25</f>
        <v>153</v>
      </c>
      <c r="F34" s="87">
        <f>تعدیل!K25</f>
        <v>209</v>
      </c>
    </row>
    <row r="35" spans="1:6" ht="21" x14ac:dyDescent="0.6">
      <c r="A35" s="90">
        <v>49</v>
      </c>
      <c r="B35" s="86" t="str">
        <f>تعدیل!A24</f>
        <v>تعدیل شماره 13</v>
      </c>
      <c r="C35" s="110">
        <f>تعدیل!G24</f>
        <v>44489</v>
      </c>
      <c r="D35" s="89">
        <f>تعدیل!H24</f>
        <v>44637</v>
      </c>
      <c r="E35" s="87">
        <f>تعدیل!J24</f>
        <v>148</v>
      </c>
      <c r="F35" s="87">
        <f>تعدیل!K24</f>
        <v>21</v>
      </c>
    </row>
    <row r="36" spans="1:6" ht="21" x14ac:dyDescent="0.6">
      <c r="A36" s="90">
        <v>51</v>
      </c>
      <c r="B36" s="86" t="str">
        <f>تعدیل!A26</f>
        <v>تعدیل شماره 15</v>
      </c>
      <c r="C36" s="110">
        <f>تعدیل!G26</f>
        <v>44508</v>
      </c>
      <c r="D36" s="89">
        <f>تعدیل!H26</f>
        <v>44874</v>
      </c>
      <c r="E36" s="87">
        <f>تعدیل!J26</f>
        <v>366</v>
      </c>
      <c r="F36" s="87">
        <f>تعدیل!K26</f>
        <v>131</v>
      </c>
    </row>
    <row r="37" spans="1:6" ht="21" x14ac:dyDescent="0.6">
      <c r="A37" s="90">
        <v>21</v>
      </c>
      <c r="B37" s="86" t="str">
        <f>'صورت وضعیت '!A28</f>
        <v>کارکرد18</v>
      </c>
      <c r="C37" s="110">
        <f>'صورت وضعیت '!G28</f>
        <v>44520</v>
      </c>
      <c r="D37" s="89">
        <f>'صورت وضعیت '!H28</f>
        <v>44874</v>
      </c>
      <c r="E37" s="87">
        <f>'صورت وضعیت '!J28</f>
        <v>354</v>
      </c>
      <c r="F37" s="87">
        <f>'صورت وضعیت '!K28</f>
        <v>54</v>
      </c>
    </row>
    <row r="38" spans="1:6" ht="21" x14ac:dyDescent="0.6">
      <c r="A38" s="90">
        <v>52</v>
      </c>
      <c r="B38" s="86" t="str">
        <f>تعدیل!A27</f>
        <v>تعدیل شماره 16</v>
      </c>
      <c r="C38" s="110">
        <f>تعدیل!G27</f>
        <v>44543</v>
      </c>
      <c r="D38" s="89">
        <f>تعدیل!H27</f>
        <v>44877</v>
      </c>
      <c r="E38" s="87">
        <f>تعدیل!J27</f>
        <v>334</v>
      </c>
      <c r="F38" s="87">
        <f>تعدیل!K27</f>
        <v>54</v>
      </c>
    </row>
    <row r="39" spans="1:6" ht="21" x14ac:dyDescent="0.6">
      <c r="A39" s="90">
        <v>22</v>
      </c>
      <c r="B39" s="86" t="str">
        <f>'صورت وضعیت '!A29</f>
        <v>کارکرد19</v>
      </c>
      <c r="C39" s="110">
        <f>'صورت وضعیت '!G29</f>
        <v>44546</v>
      </c>
      <c r="D39" s="89">
        <f>'صورت وضعیت '!H29</f>
        <v>44877</v>
      </c>
      <c r="E39" s="87">
        <f>'صورت وضعیت '!J29</f>
        <v>331</v>
      </c>
      <c r="F39" s="87">
        <f>'صورت وضعیت '!K29</f>
        <v>65</v>
      </c>
    </row>
    <row r="40" spans="1:6" ht="21" x14ac:dyDescent="0.6">
      <c r="A40" s="90">
        <v>23</v>
      </c>
      <c r="B40" s="86" t="str">
        <f>'صورت وضعیت '!A30</f>
        <v>کارکرد20</v>
      </c>
      <c r="C40" s="110">
        <f>'صورت وضعیت '!G30</f>
        <v>44574</v>
      </c>
      <c r="D40" s="89">
        <f>'صورت وضعیت '!H30</f>
        <v>44877</v>
      </c>
      <c r="E40" s="87">
        <f>'صورت وضعیت '!J30</f>
        <v>303</v>
      </c>
      <c r="F40" s="87">
        <f>'صورت وضعیت '!K30</f>
        <v>48</v>
      </c>
    </row>
    <row r="41" spans="1:6" ht="21" x14ac:dyDescent="0.6">
      <c r="A41" s="90">
        <v>53</v>
      </c>
      <c r="B41" s="86" t="str">
        <f>تعدیل!A28</f>
        <v>تعدیل شماره 17</v>
      </c>
      <c r="C41" s="110">
        <f>تعدیل!G28</f>
        <v>44579</v>
      </c>
      <c r="D41" s="89">
        <f>تعدیل!H28</f>
        <v>44909</v>
      </c>
      <c r="E41" s="87">
        <f>تعدیل!J28</f>
        <v>330</v>
      </c>
      <c r="F41" s="87">
        <f>تعدیل!K28</f>
        <v>389</v>
      </c>
    </row>
    <row r="42" spans="1:6" ht="21" x14ac:dyDescent="0.6">
      <c r="A42" s="90">
        <v>54</v>
      </c>
      <c r="B42" s="86" t="str">
        <f>تعدیل!A29</f>
        <v>تعدیل شماره 18</v>
      </c>
      <c r="C42" s="110">
        <f>تعدیل!G29</f>
        <v>44601</v>
      </c>
      <c r="D42" s="89">
        <f>تعدیل!H29</f>
        <v>44877</v>
      </c>
      <c r="E42" s="87">
        <f>تعدیل!J29</f>
        <v>276</v>
      </c>
      <c r="F42" s="87">
        <f>تعدیل!K29</f>
        <v>66</v>
      </c>
    </row>
    <row r="43" spans="1:6" ht="21" x14ac:dyDescent="0.6">
      <c r="A43" s="90">
        <v>24</v>
      </c>
      <c r="B43" s="86" t="str">
        <f>'صورت وضعیت '!A31</f>
        <v>کارکرد21</v>
      </c>
      <c r="C43" s="110">
        <f>'صورت وضعیت '!G31</f>
        <v>44606</v>
      </c>
      <c r="D43" s="89">
        <f>'صورت وضعیت '!H31</f>
        <v>44874</v>
      </c>
      <c r="E43" s="87">
        <f>'صورت وضعیت '!J31</f>
        <v>268</v>
      </c>
      <c r="F43" s="87">
        <f>'صورت وضعیت '!K31</f>
        <v>31</v>
      </c>
    </row>
    <row r="44" spans="1:6" ht="21" x14ac:dyDescent="0.6">
      <c r="A44" s="90">
        <v>55</v>
      </c>
      <c r="B44" s="86" t="str">
        <f>تعدیل!A30</f>
        <v>تعدیل شماره 19</v>
      </c>
      <c r="C44" s="110">
        <f>تعدیل!G30</f>
        <v>44633</v>
      </c>
      <c r="D44" s="89">
        <f>تعدیل!H30</f>
        <v>44878</v>
      </c>
      <c r="E44" s="87">
        <f>تعدیل!J30</f>
        <v>245</v>
      </c>
      <c r="F44" s="87">
        <f>تعدیل!K30</f>
        <v>39</v>
      </c>
    </row>
    <row r="45" spans="1:6" ht="21" x14ac:dyDescent="0.6">
      <c r="A45" s="90">
        <v>25</v>
      </c>
      <c r="B45" s="86" t="str">
        <f>'صورت وضعیت '!A32</f>
        <v>کارکرد22</v>
      </c>
      <c r="C45" s="110">
        <f>'صورت وضعیت '!G32</f>
        <v>44634</v>
      </c>
      <c r="D45" s="89">
        <f>'صورت وضعیت '!H32</f>
        <v>44874</v>
      </c>
      <c r="E45" s="87">
        <f>'صورت وضعیت '!J32</f>
        <v>240</v>
      </c>
      <c r="F45" s="87">
        <f>'صورت وضعیت '!K32</f>
        <v>59</v>
      </c>
    </row>
    <row r="46" spans="1:6" ht="21" x14ac:dyDescent="0.6">
      <c r="A46" s="90">
        <v>26</v>
      </c>
      <c r="B46" s="86" t="str">
        <f>'صورت وضعیت '!A33</f>
        <v>کارکرد23</v>
      </c>
      <c r="C46" s="110">
        <f>'صورت وضعیت '!G33</f>
        <v>44659</v>
      </c>
      <c r="D46" s="89">
        <f>'صورت وضعیت '!H33</f>
        <v>44877</v>
      </c>
      <c r="E46" s="87">
        <f>'صورت وضعیت '!J33</f>
        <v>218</v>
      </c>
      <c r="F46" s="87">
        <f>'صورت وضعیت '!K33</f>
        <v>54</v>
      </c>
    </row>
    <row r="47" spans="1:6" ht="21" x14ac:dyDescent="0.6">
      <c r="A47" s="90">
        <v>56</v>
      </c>
      <c r="B47" s="86" t="str">
        <f>تعدیل!A31</f>
        <v>تعدیل شماره 20</v>
      </c>
      <c r="C47" s="110">
        <f>تعدیل!G31</f>
        <v>44687</v>
      </c>
      <c r="D47" s="89">
        <f>تعدیل!H31</f>
        <v>44909</v>
      </c>
      <c r="E47" s="87">
        <f>تعدیل!J31</f>
        <v>222</v>
      </c>
      <c r="F47" s="87">
        <f>تعدیل!K31</f>
        <v>108</v>
      </c>
    </row>
    <row r="48" spans="1:6" ht="21" x14ac:dyDescent="0.6">
      <c r="A48" s="90">
        <v>27</v>
      </c>
      <c r="B48" s="86" t="str">
        <f>'صورت وضعیت '!A34</f>
        <v>کارکرد24</v>
      </c>
      <c r="C48" s="110">
        <f>'صورت وضعیت '!G34</f>
        <v>44702</v>
      </c>
      <c r="D48" s="89">
        <f>'صورت وضعیت '!H34</f>
        <v>44877</v>
      </c>
      <c r="E48" s="87">
        <f>'صورت وضعیت '!J34</f>
        <v>175</v>
      </c>
      <c r="F48" s="87">
        <f>'صورت وضعیت '!K34</f>
        <v>21</v>
      </c>
    </row>
    <row r="49" spans="1:6" ht="21" x14ac:dyDescent="0.6">
      <c r="A49" s="90">
        <v>28</v>
      </c>
      <c r="B49" s="86" t="str">
        <f>'صورت وضعیت '!A35</f>
        <v>کارکرد25</v>
      </c>
      <c r="C49" s="110">
        <f>'صورت وضعیت '!G35</f>
        <v>44726</v>
      </c>
      <c r="D49" s="89">
        <f>'صورت وضعیت '!H35</f>
        <v>44879</v>
      </c>
      <c r="E49" s="87">
        <f>'صورت وضعیت '!J35</f>
        <v>153</v>
      </c>
      <c r="F49" s="87">
        <f>'صورت وضعیت '!K35</f>
        <v>36</v>
      </c>
    </row>
    <row r="50" spans="1:6" ht="21" x14ac:dyDescent="0.6">
      <c r="A50" s="90">
        <v>57</v>
      </c>
      <c r="B50" s="86" t="str">
        <f>تعدیل!A32</f>
        <v>تعدیل شماره 21</v>
      </c>
      <c r="C50" s="110">
        <f>تعدیل!G32</f>
        <v>44735</v>
      </c>
      <c r="D50" s="89">
        <f>تعدیل!H32</f>
        <v>44909</v>
      </c>
      <c r="E50" s="87">
        <f>تعدیل!J32</f>
        <v>174</v>
      </c>
      <c r="F50" s="87">
        <f>تعدیل!K32</f>
        <v>34</v>
      </c>
    </row>
    <row r="51" spans="1:6" ht="21" x14ac:dyDescent="0.6">
      <c r="A51" s="90">
        <v>58</v>
      </c>
      <c r="B51" s="86" t="str">
        <f>تعدیل!A33</f>
        <v>تعدیل شماره 22</v>
      </c>
      <c r="C51" s="110">
        <f>تعدیل!G33</f>
        <v>44747</v>
      </c>
      <c r="D51" s="89">
        <f>تعدیل!H33</f>
        <v>44909</v>
      </c>
      <c r="E51" s="87">
        <f>تعدیل!J33</f>
        <v>162</v>
      </c>
      <c r="F51" s="87">
        <f>تعدیل!K33</f>
        <v>70</v>
      </c>
    </row>
    <row r="52" spans="1:6" ht="21" x14ac:dyDescent="0.6">
      <c r="A52" s="90">
        <v>29</v>
      </c>
      <c r="B52" s="86" t="str">
        <f>'صورت وضعیت '!A36</f>
        <v>کارکرد26</v>
      </c>
      <c r="C52" s="110">
        <f>'صورت وضعیت '!G36</f>
        <v>44755</v>
      </c>
      <c r="D52" s="89">
        <f>'صورت وضعیت '!H36</f>
        <v>44879</v>
      </c>
      <c r="E52" s="87">
        <f>'صورت وضعیت '!J36</f>
        <v>124</v>
      </c>
      <c r="F52" s="87">
        <f>'صورت وضعیت '!K36</f>
        <v>10</v>
      </c>
    </row>
    <row r="53" spans="1:6" ht="21" x14ac:dyDescent="0.6">
      <c r="A53" s="90">
        <v>59</v>
      </c>
      <c r="B53" s="86" t="str">
        <f>تعدیل!A34</f>
        <v>تعدیل شماره 23-1</v>
      </c>
      <c r="C53" s="110">
        <f>تعدیل!G34</f>
        <v>44787</v>
      </c>
      <c r="D53" s="89">
        <f>تعدیل!H34</f>
        <v>44909</v>
      </c>
      <c r="E53" s="87">
        <f>تعدیل!J34</f>
        <v>122</v>
      </c>
      <c r="F53" s="87">
        <f>تعدیل!K34</f>
        <v>18</v>
      </c>
    </row>
    <row r="54" spans="1:6" ht="21" x14ac:dyDescent="0.6">
      <c r="A54" s="90">
        <v>60</v>
      </c>
      <c r="B54" s="86" t="str">
        <f>تعدیل!A35</f>
        <v>تعدیل شماره 23-2</v>
      </c>
      <c r="C54" s="110">
        <f>تعدیل!G35</f>
        <v>44787</v>
      </c>
      <c r="D54" s="89">
        <f>تعدیل!H35</f>
        <v>45024</v>
      </c>
      <c r="E54" s="87">
        <f>تعدیل!J35</f>
        <v>237</v>
      </c>
      <c r="F54" s="87">
        <f>تعدیل!K35</f>
        <v>28</v>
      </c>
    </row>
    <row r="55" spans="1:6" ht="21" x14ac:dyDescent="0.6">
      <c r="A55" s="90">
        <v>30</v>
      </c>
      <c r="B55" s="86" t="str">
        <f>'صورت وضعیت '!A37</f>
        <v>کارکرد27</v>
      </c>
      <c r="C55" s="110">
        <f>'صورت وضعیت '!G37</f>
        <v>44792</v>
      </c>
      <c r="D55" s="89">
        <f>'صورت وضعیت '!H37</f>
        <v>44879</v>
      </c>
      <c r="E55" s="87">
        <f>'صورت وضعیت '!J37</f>
        <v>87</v>
      </c>
      <c r="F55" s="87">
        <f>'صورت وضعیت '!K37</f>
        <v>25</v>
      </c>
    </row>
    <row r="56" spans="1:6" ht="21" x14ac:dyDescent="0.6">
      <c r="A56" s="90">
        <v>31</v>
      </c>
      <c r="B56" s="86" t="str">
        <f>'صورت وضعیت '!A38</f>
        <v>کارکرد28</v>
      </c>
      <c r="C56" s="110">
        <f>'صورت وضعیت '!G38</f>
        <v>44821</v>
      </c>
      <c r="D56" s="89">
        <f>'صورت وضعیت '!H38</f>
        <v>44879</v>
      </c>
      <c r="E56" s="87">
        <f>'صورت وضعیت '!J38</f>
        <v>58</v>
      </c>
      <c r="F56" s="87">
        <f>'صورت وضعیت '!K38</f>
        <v>5</v>
      </c>
    </row>
    <row r="57" spans="1:6" ht="21" x14ac:dyDescent="0.6">
      <c r="A57" s="90">
        <v>61</v>
      </c>
      <c r="B57" s="86" t="str">
        <f>تعدیل!A36</f>
        <v>تعدیل شماره 24</v>
      </c>
      <c r="C57" s="110">
        <f>تعدیل!G36</f>
        <v>44821</v>
      </c>
      <c r="D57" s="89">
        <f>تعدیل!H36</f>
        <v>45024</v>
      </c>
      <c r="E57" s="87">
        <f>تعدیل!J36</f>
        <v>203</v>
      </c>
      <c r="F57" s="87">
        <f>تعدیل!K36</f>
        <v>96</v>
      </c>
    </row>
    <row r="58" spans="1:6" ht="21" x14ac:dyDescent="0.6">
      <c r="A58" s="90">
        <v>62</v>
      </c>
      <c r="B58" s="86" t="str">
        <f>تعدیل!A37</f>
        <v>تعدیل شماره 25</v>
      </c>
      <c r="C58" s="110">
        <f>تعدیل!G37</f>
        <v>44855</v>
      </c>
      <c r="D58" s="89">
        <f>تعدیل!H37</f>
        <v>45024</v>
      </c>
      <c r="E58" s="87">
        <f>تعدیل!J37</f>
        <v>169</v>
      </c>
      <c r="F58" s="87">
        <f>تعدیل!K37</f>
        <v>22</v>
      </c>
    </row>
    <row r="59" spans="1:6" ht="21" x14ac:dyDescent="0.6">
      <c r="A59" s="90">
        <v>32</v>
      </c>
      <c r="B59" s="86" t="str">
        <f>'صورت وضعیت '!A39</f>
        <v>کارکرد29</v>
      </c>
      <c r="C59" s="110">
        <f>'صورت وضعیت '!G39</f>
        <v>44862</v>
      </c>
      <c r="D59" s="89">
        <f>'صورت وضعیت '!H39</f>
        <v>45024</v>
      </c>
      <c r="E59" s="87">
        <f>'صورت وضعیت '!J39</f>
        <v>162</v>
      </c>
      <c r="F59" s="87">
        <f>'صورت وضعیت '!K39</f>
        <v>4</v>
      </c>
    </row>
    <row r="60" spans="1:6" ht="21" x14ac:dyDescent="0.6">
      <c r="A60" s="90">
        <v>33</v>
      </c>
      <c r="B60" s="86" t="str">
        <f>'صورت وضعیت '!A40</f>
        <v>کارکرد30</v>
      </c>
      <c r="C60" s="110">
        <f>'صورت وضعیت '!G40</f>
        <v>44895</v>
      </c>
      <c r="D60" s="89">
        <f>'صورت وضعیت '!H40</f>
        <v>45024</v>
      </c>
      <c r="E60" s="87">
        <f>'صورت وضعیت '!J40</f>
        <v>129</v>
      </c>
      <c r="F60" s="87">
        <f>'صورت وضعیت '!K40</f>
        <v>0</v>
      </c>
    </row>
    <row r="61" spans="1:6" ht="21" x14ac:dyDescent="0.6">
      <c r="A61" s="90">
        <v>34</v>
      </c>
      <c r="B61" s="86" t="str">
        <f>'صورت وضعیت '!A41</f>
        <v>کارکرد31</v>
      </c>
      <c r="C61" s="110">
        <f>'صورت وضعیت '!G41</f>
        <v>44924</v>
      </c>
      <c r="D61" s="89">
        <f>'صورت وضعیت '!H41</f>
        <v>45024</v>
      </c>
      <c r="E61" s="87">
        <f>'صورت وضعیت '!J41</f>
        <v>100</v>
      </c>
      <c r="F61" s="87">
        <f>'صورت وضعیت '!K41</f>
        <v>2</v>
      </c>
    </row>
    <row r="62" spans="1:6" ht="21" x14ac:dyDescent="0.6">
      <c r="A62" s="90">
        <v>35</v>
      </c>
      <c r="B62" s="86" t="str">
        <f>'صورت وضعیت '!A42</f>
        <v>کارکرد32</v>
      </c>
      <c r="C62" s="110">
        <f>'صورت وضعیت '!G42</f>
        <v>44949</v>
      </c>
      <c r="D62" s="89">
        <f>'صورت وضعیت '!H42</f>
        <v>45024</v>
      </c>
      <c r="E62" s="87">
        <f>'صورت وضعیت '!J42</f>
        <v>75</v>
      </c>
      <c r="F62" s="87">
        <f>'صورت وضعیت '!K42</f>
        <v>11</v>
      </c>
    </row>
    <row r="63" spans="1:6" ht="21" x14ac:dyDescent="0.6">
      <c r="A63" s="90">
        <v>64</v>
      </c>
      <c r="B63" s="86" t="str">
        <f>تعدیل!A39</f>
        <v>تعدیل شماره 27</v>
      </c>
      <c r="C63" s="110">
        <f>تعدیل!G39</f>
        <v>44949</v>
      </c>
      <c r="D63" s="89">
        <f>تعدیل!H39</f>
        <v>45024</v>
      </c>
      <c r="E63" s="87">
        <f>تعدیل!J39</f>
        <v>75</v>
      </c>
      <c r="F63" s="87">
        <f>تعدیل!K39</f>
        <v>64</v>
      </c>
    </row>
    <row r="64" spans="1:6" ht="21" x14ac:dyDescent="0.6">
      <c r="A64" s="90">
        <v>63</v>
      </c>
      <c r="B64" s="86" t="str">
        <f>تعدیل!A38</f>
        <v>تعدیل شماره 26</v>
      </c>
      <c r="C64" s="110">
        <f>تعدیل!G38</f>
        <v>44965</v>
      </c>
      <c r="D64" s="89">
        <f>تعدیل!H38</f>
        <v>45024</v>
      </c>
      <c r="E64" s="87">
        <f>تعدیل!J38</f>
        <v>59</v>
      </c>
      <c r="F64" s="87">
        <f>تعدیل!K38</f>
        <v>1</v>
      </c>
    </row>
    <row r="65" spans="1:6" ht="21" x14ac:dyDescent="0.6">
      <c r="A65" s="90">
        <v>36</v>
      </c>
      <c r="B65" s="86" t="str">
        <f>'صورت وضعیت '!A43</f>
        <v>کارکرد33</v>
      </c>
      <c r="C65" s="110">
        <f>'صورت وضعیت '!G43</f>
        <v>44972</v>
      </c>
      <c r="D65" s="89">
        <f>'صورت وضعیت '!H43</f>
        <v>45024</v>
      </c>
      <c r="E65" s="87">
        <f>'صورت وضعیت '!J43</f>
        <v>52</v>
      </c>
      <c r="F65" s="87">
        <f>'صورت وضعیت '!K43</f>
        <v>5</v>
      </c>
    </row>
    <row r="66" spans="1:6" ht="21" x14ac:dyDescent="0.6">
      <c r="A66" s="90">
        <v>65</v>
      </c>
      <c r="B66" s="86" t="str">
        <f>تعدیل!A40</f>
        <v>تعدیل شماره 28</v>
      </c>
      <c r="C66" s="110">
        <f>تعدیل!G40</f>
        <v>44974</v>
      </c>
      <c r="D66" s="89">
        <f>تعدیل!H40</f>
        <v>45024</v>
      </c>
      <c r="E66" s="87">
        <f>تعدیل!J40</f>
        <v>50</v>
      </c>
      <c r="F66" s="87">
        <f>تعدیل!K40</f>
        <v>17</v>
      </c>
    </row>
  </sheetData>
  <autoFilter ref="A1:F59">
    <sortState ref="A2:F66">
      <sortCondition ref="C1:C59"/>
    </sortState>
  </autoFilter>
  <pageMargins left="0.25" right="0.36" top="0.77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verlab_tabsareh3">
                <anchor moveWithCells="1" sizeWithCells="1">
                  <from>
                    <xdr:col>6</xdr:col>
                    <xdr:colOff>314325</xdr:colOff>
                    <xdr:row>0</xdr:row>
                    <xdr:rowOff>85725</xdr:rowOff>
                  </from>
                  <to>
                    <xdr:col>9</xdr:col>
                    <xdr:colOff>342900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H15"/>
  <sheetViews>
    <sheetView rightToLeft="1" zoomScale="70" zoomScaleNormal="70" workbookViewId="0">
      <selection activeCell="G4" sqref="G4"/>
    </sheetView>
  </sheetViews>
  <sheetFormatPr defaultColWidth="9" defaultRowHeight="15" x14ac:dyDescent="0.25"/>
  <cols>
    <col min="1" max="1" width="9" style="126"/>
    <col min="2" max="2" width="19.42578125" style="126" customWidth="1"/>
    <col min="3" max="3" width="14.5703125" style="126" customWidth="1"/>
    <col min="4" max="4" width="14.85546875" style="126" customWidth="1"/>
    <col min="5" max="7" width="11.5703125" style="126" customWidth="1"/>
    <col min="8" max="8" width="16.140625" style="126" customWidth="1"/>
    <col min="9" max="16384" width="9" style="126"/>
  </cols>
  <sheetData>
    <row r="1" spans="1:8" ht="70.5" customHeight="1" x14ac:dyDescent="0.25">
      <c r="A1" s="125" t="s">
        <v>71</v>
      </c>
      <c r="B1" s="125" t="s">
        <v>116</v>
      </c>
      <c r="C1" s="125" t="s">
        <v>2</v>
      </c>
      <c r="D1" s="125" t="s">
        <v>3</v>
      </c>
      <c r="E1" s="125" t="s">
        <v>117</v>
      </c>
      <c r="F1" s="125" t="s">
        <v>118</v>
      </c>
      <c r="G1" s="125" t="s">
        <v>119</v>
      </c>
      <c r="H1" s="125" t="s">
        <v>120</v>
      </c>
    </row>
    <row r="2" spans="1:8" ht="70.5" customHeight="1" x14ac:dyDescent="0.25">
      <c r="A2" s="125">
        <v>1</v>
      </c>
      <c r="B2" s="127">
        <v>2</v>
      </c>
      <c r="C2" s="128">
        <v>43903</v>
      </c>
      <c r="D2" s="129">
        <v>43970</v>
      </c>
      <c r="E2" s="109">
        <v>67</v>
      </c>
      <c r="F2" s="109">
        <v>60</v>
      </c>
      <c r="G2" s="109">
        <v>60</v>
      </c>
      <c r="H2" s="129">
        <v>43910</v>
      </c>
    </row>
    <row r="3" spans="1:8" ht="55.5" customHeight="1" x14ac:dyDescent="0.25">
      <c r="A3" s="131">
        <v>2</v>
      </c>
      <c r="B3" s="132">
        <v>3</v>
      </c>
      <c r="C3" s="133">
        <v>43994</v>
      </c>
      <c r="D3" s="134">
        <v>44024</v>
      </c>
      <c r="E3" s="135">
        <v>30</v>
      </c>
      <c r="F3" s="135">
        <v>29</v>
      </c>
      <c r="G3" s="135">
        <v>29</v>
      </c>
      <c r="H3" s="134">
        <v>43995</v>
      </c>
    </row>
    <row r="4" spans="1:8" ht="247.5" x14ac:dyDescent="0.25">
      <c r="A4" s="131">
        <v>3</v>
      </c>
      <c r="B4" s="132" t="s">
        <v>138</v>
      </c>
      <c r="C4" s="133">
        <v>44029</v>
      </c>
      <c r="D4" s="134">
        <v>45024</v>
      </c>
      <c r="E4" s="135">
        <v>995</v>
      </c>
      <c r="F4" s="135">
        <v>3290</v>
      </c>
      <c r="G4" s="135">
        <v>995</v>
      </c>
      <c r="H4" s="134">
        <v>44029</v>
      </c>
    </row>
    <row r="5" spans="1:8" ht="24.75" x14ac:dyDescent="0.25">
      <c r="A5" s="131"/>
      <c r="B5" s="132"/>
      <c r="C5" s="133"/>
      <c r="D5" s="134"/>
      <c r="E5" s="135"/>
      <c r="F5" s="135"/>
      <c r="G5" s="135"/>
      <c r="H5" s="134"/>
    </row>
    <row r="6" spans="1:8" ht="21" x14ac:dyDescent="0.25">
      <c r="A6" s="125"/>
      <c r="B6" s="127"/>
      <c r="C6" s="128"/>
      <c r="D6" s="129"/>
      <c r="E6" s="109"/>
      <c r="F6" s="109"/>
      <c r="G6" s="109"/>
      <c r="H6" s="129"/>
    </row>
    <row r="7" spans="1:8" ht="21" x14ac:dyDescent="0.25">
      <c r="A7" s="125"/>
      <c r="B7" s="127"/>
      <c r="C7" s="128"/>
      <c r="D7" s="129"/>
      <c r="E7" s="109"/>
      <c r="F7" s="109"/>
      <c r="G7" s="109"/>
      <c r="H7" s="129"/>
    </row>
    <row r="8" spans="1:8" ht="21" x14ac:dyDescent="0.25">
      <c r="A8" s="125"/>
      <c r="B8" s="127"/>
      <c r="C8" s="128"/>
      <c r="D8" s="129"/>
      <c r="E8" s="109"/>
      <c r="F8" s="109"/>
      <c r="G8" s="128"/>
      <c r="H8" s="128"/>
    </row>
    <row r="9" spans="1:8" ht="21" x14ac:dyDescent="0.25">
      <c r="A9" s="125"/>
      <c r="B9" s="127"/>
      <c r="C9" s="128"/>
      <c r="D9" s="129"/>
      <c r="E9" s="109"/>
      <c r="F9" s="109"/>
      <c r="G9" s="128"/>
      <c r="H9" s="128"/>
    </row>
    <row r="10" spans="1:8" ht="21" x14ac:dyDescent="0.25">
      <c r="A10" s="125"/>
      <c r="B10" s="127"/>
      <c r="C10" s="128"/>
      <c r="D10" s="129"/>
      <c r="E10" s="109"/>
      <c r="F10" s="109"/>
      <c r="G10" s="128"/>
      <c r="H10" s="128"/>
    </row>
    <row r="13" spans="1:8" ht="18.75" x14ac:dyDescent="0.25">
      <c r="H13" s="129"/>
    </row>
    <row r="14" spans="1:8" ht="18.75" x14ac:dyDescent="0.25">
      <c r="H14" s="129"/>
    </row>
    <row r="15" spans="1:8" x14ac:dyDescent="0.25">
      <c r="H15" s="126">
        <f>H14-H13</f>
        <v>0</v>
      </c>
    </row>
  </sheetData>
  <autoFilter ref="A1:H10">
    <sortState ref="A2:H52">
      <sortCondition ref="C1:C52"/>
    </sortState>
  </autoFilter>
  <pageMargins left="0.25" right="0.36" top="0.77" bottom="0.75" header="0.3" footer="0.3"/>
  <pageSetup paperSize="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شناسنامه</vt:lpstr>
      <vt:lpstr>قسط اول پیش پرداخت </vt:lpstr>
      <vt:lpstr>باقی پیش پرداخت ها </vt:lpstr>
      <vt:lpstr>صورت وضعیت </vt:lpstr>
      <vt:lpstr>تعدیل</vt:lpstr>
      <vt:lpstr>تبصره 3</vt:lpstr>
      <vt:lpstr>همپوشاني تبصره 3</vt:lpstr>
      <vt:lpstr>تعدیل!Print_Titles</vt:lpstr>
      <vt:lpstr>'صورت وضعیت '!Print_Titles</vt:lpstr>
      <vt:lpstr>'همپوشاني تبصره 3'!ابتدای_تاخیر</vt:lpstr>
    </vt:vector>
  </TitlesOfParts>
  <Company>Office07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Shahed</dc:creator>
  <cp:lastModifiedBy>tarhparsi</cp:lastModifiedBy>
  <cp:lastPrinted>2023-01-23T05:23:49Z</cp:lastPrinted>
  <dcterms:created xsi:type="dcterms:W3CDTF">2010-11-24T13:39:14Z</dcterms:created>
  <dcterms:modified xsi:type="dcterms:W3CDTF">2024-01-11T04:57:13Z</dcterms:modified>
</cp:coreProperties>
</file>